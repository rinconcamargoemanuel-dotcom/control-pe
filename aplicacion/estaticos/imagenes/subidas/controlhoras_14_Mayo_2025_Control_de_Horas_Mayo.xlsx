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\Documents\BItacoras 2026\"/>
    </mc:Choice>
  </mc:AlternateContent>
  <xr:revisionPtr revIDLastSave="0" documentId="8_{6414A018-9466-4AB5-B27E-F3E945F9926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la Estudiante" sheetId="23" r:id="rId1"/>
  </sheets>
  <definedNames>
    <definedName name="_xlnm.Print_Area" localSheetId="0">'Planilla Estudiante'!$B$2:$M$53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9" i="23" l="1"/>
  <c r="M4" i="23" s="1"/>
  <c r="M9" i="23"/>
  <c r="F14" i="23"/>
  <c r="F12" i="23"/>
  <c r="L12" i="23" s="1"/>
  <c r="F13" i="23"/>
  <c r="L13" i="23" s="1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M3" i="23"/>
  <c r="L14" i="23" l="1"/>
  <c r="L15" i="23" s="1"/>
  <c r="L16" i="23" l="1"/>
  <c r="L17" i="23" l="1"/>
  <c r="L18" i="23" l="1"/>
  <c r="L19" i="23" s="1"/>
  <c r="L20" i="23" l="1"/>
  <c r="L21" i="23" s="1"/>
  <c r="L22" i="23" s="1"/>
  <c r="L23" i="23" s="1"/>
  <c r="L24" i="23"/>
  <c r="L25" i="23" l="1"/>
  <c r="L26" i="23" l="1"/>
  <c r="L27" i="23" s="1"/>
  <c r="L28" i="23" s="1"/>
  <c r="L29" i="23" l="1"/>
  <c r="L30" i="23" s="1"/>
  <c r="L31" i="23" s="1"/>
  <c r="L32" i="23" s="1"/>
  <c r="L33" i="23" l="1"/>
  <c r="L34" i="23" s="1"/>
  <c r="L35" i="23" s="1"/>
  <c r="L36" i="23" l="1"/>
  <c r="L37" i="23" l="1"/>
  <c r="L38" i="23" s="1"/>
  <c r="L39" i="23" s="1"/>
  <c r="L40" i="23" s="1"/>
  <c r="L41" i="23" s="1"/>
  <c r="L42" i="23" s="1"/>
  <c r="L44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Luffi</author>
  </authors>
  <commentList>
    <comment ref="G10" authorId="0" shapeId="0" xr:uid="{B512799F-06D5-4DCE-9C35-0982A462F4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Aquí se describe las evidencias que se dejaron de la actividad realizada.</t>
        </r>
      </text>
    </comment>
    <comment ref="L43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TOTAL HORAS MES</t>
        </r>
      </text>
    </comment>
  </commentList>
</comments>
</file>

<file path=xl/sharedStrings.xml><?xml version="1.0" encoding="utf-8"?>
<sst xmlns="http://schemas.openxmlformats.org/spreadsheetml/2006/main" count="128" uniqueCount="96">
  <si>
    <t xml:space="preserve">Nombre y Apellidos : </t>
  </si>
  <si>
    <t>TOTAL</t>
  </si>
  <si>
    <t>FECHA CALENDARIO</t>
  </si>
  <si>
    <t>DIA DE LA SEMANA</t>
  </si>
  <si>
    <t xml:space="preserve">HORA INICIO </t>
  </si>
  <si>
    <t>HORA TERMINACION</t>
  </si>
  <si>
    <t>LUNES</t>
  </si>
  <si>
    <t>MARTES</t>
  </si>
  <si>
    <t>DOMINGO</t>
  </si>
  <si>
    <t>OBSERVACIONES</t>
  </si>
  <si>
    <t>JUEVES</t>
  </si>
  <si>
    <t>VIERNES</t>
  </si>
  <si>
    <t>SÁBADO</t>
  </si>
  <si>
    <t>MIÉRCOLES</t>
  </si>
  <si>
    <t>PASANTIA</t>
  </si>
  <si>
    <t>Código: H01.01</t>
  </si>
  <si>
    <t>NOMBRE DE LA EMPRESA:</t>
  </si>
  <si>
    <t>TIPO DE DOCUMENTO:</t>
  </si>
  <si>
    <t>INSTITUCION EDUCATIVA JOSE JOAQUÍN FLÓREZ HERNÁNDEZ</t>
  </si>
  <si>
    <t>HORAS LABORADAS</t>
  </si>
  <si>
    <t>TOTAL HORAS LABORADAS</t>
  </si>
  <si>
    <t>TOTAL HORAS DE LA ACTIVIDAD</t>
  </si>
  <si>
    <t>EVIDENCIAS DE LA ACTIVIDAD REALIZADA</t>
  </si>
  <si>
    <t>Firma del Docente Encargado</t>
  </si>
  <si>
    <t>Firma del Ente Coformador</t>
  </si>
  <si>
    <t>Frima del Estudiante</t>
  </si>
  <si>
    <r>
      <rPr>
        <b/>
        <sz val="9"/>
        <rFont val="Arial"/>
        <family val="2"/>
      </rPr>
      <t>Documento   No.:</t>
    </r>
    <r>
      <rPr>
        <sz val="9"/>
        <rFont val="Arial"/>
        <family val="2"/>
      </rPr>
      <t xml:space="preserve">                                           </t>
    </r>
  </si>
  <si>
    <t>Nota:      1 - )  El reconcomiento de las horas de practica empresarial no podra superar 24 horas semanales y debe estar sujeto a cumplir los horarios de Ley.</t>
  </si>
  <si>
    <t>NOMBRE ESTUDIANTE:</t>
  </si>
  <si>
    <t>Proceso H01. Administración de Horas Laboradas Practica Empresarial</t>
  </si>
  <si>
    <t>CORREO DEL ESTUDIANTE:</t>
  </si>
  <si>
    <t>TARDE Y SABADOS</t>
  </si>
  <si>
    <t>BITACORA NUMERO:</t>
  </si>
  <si>
    <t>TIPO DE PRACTICA:</t>
  </si>
  <si>
    <t>JORNADA LABORAL:</t>
  </si>
  <si>
    <t>MES BITACORA:</t>
  </si>
  <si>
    <t xml:space="preserve">              2 - ) En todo caso se establece que el padre de familia es conocedor del horario y el tiempo dedicado por estudiante asi como su responsabilidad de cumplir las horas de la practica.</t>
  </si>
  <si>
    <t xml:space="preserve">              3- ) La firma del presente documento por parte del ente coformador es certificación de cumplimiento de lo expuesto en el mismo</t>
  </si>
  <si>
    <t>Contacto:</t>
  </si>
  <si>
    <r>
      <t xml:space="preserve">Nombre y Apellidos: </t>
    </r>
    <r>
      <rPr>
        <sz val="10"/>
        <rFont val="Arial"/>
        <family val="2"/>
      </rPr>
      <t>Yefferzon Perea Valero</t>
    </r>
  </si>
  <si>
    <r>
      <t xml:space="preserve">CC No.: </t>
    </r>
    <r>
      <rPr>
        <sz val="10"/>
        <rFont val="Arial"/>
        <family val="2"/>
      </rPr>
      <t>11321330</t>
    </r>
  </si>
  <si>
    <r>
      <t xml:space="preserve">Contacto: </t>
    </r>
    <r>
      <rPr>
        <sz val="10"/>
        <rFont val="Arial"/>
        <family val="2"/>
      </rPr>
      <t>3134724602</t>
    </r>
  </si>
  <si>
    <t>1 - 10°</t>
  </si>
  <si>
    <t>2 - 10°</t>
  </si>
  <si>
    <t>3 - 10°</t>
  </si>
  <si>
    <t>4 - 10°</t>
  </si>
  <si>
    <t>5 - 10°</t>
  </si>
  <si>
    <t>6 - 10°</t>
  </si>
  <si>
    <t>7 - 10°</t>
  </si>
  <si>
    <t>8 - 10°</t>
  </si>
  <si>
    <t>1 - 11°</t>
  </si>
  <si>
    <t>2 - 11°</t>
  </si>
  <si>
    <t>3 - 11°</t>
  </si>
  <si>
    <t>4 - 11°</t>
  </si>
  <si>
    <t>5 - 11°</t>
  </si>
  <si>
    <t>6 - 11°</t>
  </si>
  <si>
    <t>7 - 11°</t>
  </si>
  <si>
    <t>8 - 11°</t>
  </si>
  <si>
    <t>9 - 11°</t>
  </si>
  <si>
    <t>10 - 11°</t>
  </si>
  <si>
    <t>9 - 10°</t>
  </si>
  <si>
    <t>Evidencia física (objetos, huellas, armas, residuos)</t>
  </si>
  <si>
    <t>NÚMERO DE DOCUMENTO IDENTIDAD:</t>
  </si>
  <si>
    <t>Cedula de Ciudadania</t>
  </si>
  <si>
    <t>Tarjeta de Identidad</t>
  </si>
  <si>
    <t>Cédula de Extranjeria</t>
  </si>
  <si>
    <t>Pasaporte</t>
  </si>
  <si>
    <t>FECHA:</t>
  </si>
  <si>
    <t>BITACORA DE  CONTROL DIARIO DE ACTIVIDAES REALIZADAS EN LA PRACTICA EMPRESARIAL POR EL ESTUDIANTES / APRENDIZ</t>
  </si>
  <si>
    <t xml:space="preserve">Evidencia documental (informes, grabaciones, fotografías, programa) </t>
  </si>
  <si>
    <t>NOTA:  MAXIMO 24 HORAS SEMANALES EN LA JORNADA; SI ESTAS HORAS SUMADAS ESTAN FUERA DEL TOTAL DE LA JORANADA LABORAL NO SERAN TENIDAS EN CUENTA 90 HORAS MENSUALES</t>
  </si>
  <si>
    <t>Evidencia de desempeño (Respuestas verbales o escritas, presentaciones orales, proyectos, observaciones conductuales)</t>
  </si>
  <si>
    <t>Revision Seguimiento</t>
  </si>
  <si>
    <t>Visita de Seguimiento - Docente Institución o Instructor SENA</t>
  </si>
  <si>
    <t>REVISION DE SEGUIMIENTO Y RECEPCION DE EVIDENCIAS</t>
  </si>
  <si>
    <t>Laboró en la mañana y tarde, No hubo clases en la Isntitución.</t>
  </si>
  <si>
    <t>MegaTesla</t>
  </si>
  <si>
    <t>Anderson Geovanny Espinosa Garcia</t>
  </si>
  <si>
    <t>anderespinoza1318@gmail.com</t>
  </si>
  <si>
    <t>Nombre y Apellidos : Jhon Pablo Finisterra</t>
  </si>
  <si>
    <r>
      <rPr>
        <b/>
        <sz val="9"/>
        <rFont val="Arial"/>
        <family val="2"/>
      </rPr>
      <t>CC No.:</t>
    </r>
    <r>
      <rPr>
        <sz val="9"/>
        <rFont val="Arial"/>
        <family val="2"/>
      </rPr>
      <t xml:space="preserve">  1110503567</t>
    </r>
  </si>
  <si>
    <t>Contacto: 316 3309394</t>
  </si>
  <si>
    <t>Formateo de equipo e instalacion de office</t>
  </si>
  <si>
    <t>Cambio de Bateria de un equipo</t>
  </si>
  <si>
    <t>Desarmar y limpiar un equipo</t>
  </si>
  <si>
    <t>Cambio de Disco y Memoria Ram</t>
  </si>
  <si>
    <t>Instalacion de office y programas</t>
  </si>
  <si>
    <t>Mantenimeinto de un equipo</t>
  </si>
  <si>
    <t>Diagnosticar Discos</t>
  </si>
  <si>
    <t>MAYO</t>
  </si>
  <si>
    <t>Formateo de equipos e instalacion de office</t>
  </si>
  <si>
    <t>Formateos de equipos e instalacion de office</t>
  </si>
  <si>
    <t>Mantenimeinto de equipos</t>
  </si>
  <si>
    <t>Cambio de pasta termica</t>
  </si>
  <si>
    <t>Instalar un programa remotamente (AnyDesk)</t>
  </si>
  <si>
    <t xml:space="preserve">Formateo de equipos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</si>
</sst>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\ &quot;€&quot;_-;\-* #,##0.00\ &quot;€&quot;_-;_-* &quot;-&quot;??\ &quot;€&quot;_-;_-@_-"/>
    <numFmt numFmtId="165" formatCode="[$-F400]h:mm:ss\ AM/PM"/>
    <numFmt numFmtId="166" formatCode="[$-F800]dddd\,\ mmmm\ dd\,\ yyyy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color indexed="8"/>
      <name val="Humanst521 BT"/>
    </font>
    <font>
      <sz val="9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7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3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5" fillId="0" borderId="0"/>
    <xf numFmtId="164" fontId="1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/>
  </cellStyleXfs>
  <cellXfs count="159">
    <xf numFmtId="0" fontId="0" fillId="0" borderId="0" xfId="0"/>
    <xf numFmtId="0" fontId="3" fillId="2" borderId="13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14" fillId="2" borderId="28" xfId="0" applyFont="1" applyFill="1" applyBorder="1" applyAlignment="1" applyProtection="1">
      <alignment horizontal="center" vertical="center" wrapText="1"/>
      <protection locked="0"/>
    </xf>
    <xf numFmtId="0" fontId="5" fillId="2" borderId="29" xfId="0" applyFont="1" applyFill="1" applyBorder="1" applyAlignment="1" applyProtection="1">
      <alignment horizontal="left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vertical="center"/>
      <protection locked="0"/>
    </xf>
    <xf numFmtId="0" fontId="0" fillId="2" borderId="7" xfId="0" applyFill="1" applyBorder="1" applyProtection="1">
      <protection locked="0"/>
    </xf>
    <xf numFmtId="0" fontId="5" fillId="2" borderId="34" xfId="0" applyFont="1" applyFill="1" applyBorder="1" applyAlignment="1" applyProtection="1">
      <alignment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Protection="1">
      <protection locked="0"/>
    </xf>
    <xf numFmtId="0" fontId="19" fillId="0" borderId="35" xfId="0" applyFont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1" fontId="1" fillId="0" borderId="21" xfId="12" applyNumberFormat="1" applyFont="1" applyBorder="1" applyAlignment="1" applyProtection="1">
      <alignment horizontal="center" vertical="center"/>
    </xf>
    <xf numFmtId="1" fontId="1" fillId="0" borderId="5" xfId="12" applyNumberFormat="1" applyFont="1" applyBorder="1" applyAlignment="1" applyProtection="1">
      <alignment horizontal="center" vertical="center"/>
    </xf>
    <xf numFmtId="1" fontId="1" fillId="0" borderId="6" xfId="12" applyNumberFormat="1" applyFont="1" applyBorder="1" applyAlignment="1" applyProtection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vertical="center"/>
    </xf>
    <xf numFmtId="0" fontId="0" fillId="2" borderId="13" xfId="0" applyFill="1" applyBorder="1" applyAlignment="1">
      <alignment horizontal="center"/>
    </xf>
    <xf numFmtId="165" fontId="24" fillId="0" borderId="25" xfId="0" applyNumberFormat="1" applyFont="1" applyBorder="1" applyAlignment="1" applyProtection="1">
      <alignment horizontal="center" vertical="center"/>
      <protection locked="0"/>
    </xf>
    <xf numFmtId="165" fontId="24" fillId="0" borderId="27" xfId="0" applyNumberFormat="1" applyFont="1" applyBorder="1" applyAlignment="1" applyProtection="1">
      <alignment horizontal="center" vertical="center"/>
      <protection locked="0"/>
    </xf>
    <xf numFmtId="165" fontId="24" fillId="0" borderId="22" xfId="0" applyNumberFormat="1" applyFont="1" applyBorder="1" applyAlignment="1" applyProtection="1">
      <alignment horizontal="center" vertical="center"/>
      <protection locked="0"/>
    </xf>
    <xf numFmtId="165" fontId="24" fillId="0" borderId="2" xfId="0" applyNumberFormat="1" applyFont="1" applyBorder="1" applyAlignment="1" applyProtection="1">
      <alignment horizontal="center" vertical="center"/>
      <protection locked="0"/>
    </xf>
    <xf numFmtId="165" fontId="24" fillId="0" borderId="36" xfId="0" applyNumberFormat="1" applyFont="1" applyBorder="1" applyAlignment="1" applyProtection="1">
      <alignment horizontal="center" vertical="center"/>
      <protection locked="0"/>
    </xf>
    <xf numFmtId="165" fontId="24" fillId="0" borderId="30" xfId="0" applyNumberFormat="1" applyFont="1" applyBorder="1" applyAlignment="1" applyProtection="1">
      <alignment horizontal="center" vertical="center"/>
      <protection locked="0"/>
    </xf>
    <xf numFmtId="165" fontId="24" fillId="0" borderId="24" xfId="0" applyNumberFormat="1" applyFont="1" applyBorder="1" applyAlignment="1" applyProtection="1">
      <alignment horizontal="center" vertical="center"/>
      <protection locked="0"/>
    </xf>
    <xf numFmtId="0" fontId="8" fillId="4" borderId="35" xfId="9" applyFont="1" applyFill="1" applyBorder="1" applyAlignment="1" applyProtection="1">
      <alignment horizontal="center" vertical="center"/>
      <protection locked="0"/>
    </xf>
    <xf numFmtId="0" fontId="8" fillId="4" borderId="36" xfId="9" applyFont="1" applyFill="1" applyBorder="1" applyAlignment="1" applyProtection="1">
      <alignment horizontal="center" vertical="center"/>
      <protection locked="0"/>
    </xf>
    <xf numFmtId="0" fontId="8" fillId="4" borderId="32" xfId="9" applyFont="1" applyFill="1" applyBorder="1" applyAlignment="1" applyProtection="1">
      <alignment horizontal="center" vertical="center"/>
      <protection locked="0"/>
    </xf>
    <xf numFmtId="0" fontId="8" fillId="4" borderId="12" xfId="9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14" fillId="2" borderId="2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horizontal="center"/>
    </xf>
    <xf numFmtId="0" fontId="1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0" fillId="2" borderId="1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0" fillId="0" borderId="11" xfId="0" applyFont="1" applyBorder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3" fontId="18" fillId="7" borderId="29" xfId="0" applyNumberFormat="1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right" vertical="center"/>
    </xf>
    <xf numFmtId="0" fontId="23" fillId="8" borderId="4" xfId="0" applyFont="1" applyFill="1" applyBorder="1" applyAlignment="1">
      <alignment horizontal="right" vertical="center"/>
    </xf>
    <xf numFmtId="166" fontId="23" fillId="8" borderId="18" xfId="0" applyNumberFormat="1" applyFont="1" applyFill="1" applyBorder="1" applyAlignment="1">
      <alignment horizontal="right" vertical="center"/>
    </xf>
    <xf numFmtId="0" fontId="25" fillId="9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wrapText="1"/>
      <protection locked="0"/>
    </xf>
    <xf numFmtId="20" fontId="0" fillId="2" borderId="0" xfId="0" applyNumberFormat="1" applyFill="1" applyProtection="1">
      <protection hidden="1"/>
    </xf>
    <xf numFmtId="41" fontId="0" fillId="2" borderId="0" xfId="12" applyFont="1" applyFill="1" applyAlignment="1" applyProtection="1">
      <alignment horizontal="center" vertical="center"/>
      <protection hidden="1"/>
    </xf>
    <xf numFmtId="166" fontId="0" fillId="2" borderId="0" xfId="0" applyNumberForma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8" fillId="0" borderId="33" xfId="0" applyFont="1" applyBorder="1" applyAlignment="1" applyProtection="1">
      <alignment horizontal="left" vertical="center"/>
      <protection locked="0"/>
    </xf>
    <xf numFmtId="0" fontId="27" fillId="0" borderId="33" xfId="0" applyFont="1" applyBorder="1" applyAlignment="1" applyProtection="1">
      <alignment horizontal="left" vertical="center"/>
      <protection locked="0"/>
    </xf>
    <xf numFmtId="0" fontId="4" fillId="0" borderId="33" xfId="1" applyFont="1" applyBorder="1" applyAlignment="1" applyProtection="1">
      <alignment horizontal="left" vertical="center"/>
      <protection locked="0"/>
    </xf>
    <xf numFmtId="166" fontId="3" fillId="0" borderId="6" xfId="1" applyNumberFormat="1" applyFont="1" applyBorder="1" applyAlignment="1">
      <alignment horizontal="left"/>
    </xf>
    <xf numFmtId="0" fontId="10" fillId="9" borderId="33" xfId="1" applyFont="1" applyFill="1" applyBorder="1" applyAlignment="1" applyProtection="1">
      <alignment horizontal="left"/>
      <protection locked="0"/>
    </xf>
    <xf numFmtId="3" fontId="0" fillId="2" borderId="0" xfId="0" applyNumberFormat="1" applyFill="1" applyProtection="1">
      <protection hidden="1"/>
    </xf>
    <xf numFmtId="0" fontId="22" fillId="10" borderId="33" xfId="0" applyFont="1" applyFill="1" applyBorder="1" applyAlignment="1" applyProtection="1">
      <alignment horizontal="center" vertical="center" wrapText="1"/>
      <protection locked="0"/>
    </xf>
    <xf numFmtId="0" fontId="10" fillId="9" borderId="15" xfId="1" applyFont="1" applyFill="1" applyBorder="1" applyAlignment="1">
      <alignment horizontal="left" vertical="center"/>
    </xf>
    <xf numFmtId="0" fontId="10" fillId="9" borderId="16" xfId="1" applyFont="1" applyFill="1" applyBorder="1" applyAlignment="1">
      <alignment horizontal="left" vertical="center"/>
    </xf>
    <xf numFmtId="0" fontId="10" fillId="9" borderId="3" xfId="1" applyFont="1" applyFill="1" applyBorder="1" applyAlignment="1">
      <alignment horizontal="left" vertical="center"/>
    </xf>
    <xf numFmtId="0" fontId="10" fillId="9" borderId="12" xfId="1" applyFont="1" applyFill="1" applyBorder="1" applyAlignment="1">
      <alignment horizontal="left"/>
    </xf>
    <xf numFmtId="0" fontId="10" fillId="9" borderId="13" xfId="1" applyFont="1" applyFill="1" applyBorder="1" applyAlignment="1">
      <alignment horizontal="left"/>
    </xf>
    <xf numFmtId="0" fontId="10" fillId="9" borderId="14" xfId="1" applyFont="1" applyFill="1" applyBorder="1" applyAlignment="1">
      <alignment horizontal="left"/>
    </xf>
    <xf numFmtId="3" fontId="30" fillId="6" borderId="8" xfId="0" applyNumberFormat="1" applyFont="1" applyFill="1" applyBorder="1" applyAlignment="1">
      <alignment horizontal="center" vertical="center"/>
    </xf>
    <xf numFmtId="3" fontId="30" fillId="6" borderId="10" xfId="0" applyNumberFormat="1" applyFont="1" applyFill="1" applyBorder="1" applyAlignment="1">
      <alignment horizontal="center" vertical="center"/>
    </xf>
    <xf numFmtId="3" fontId="30" fillId="6" borderId="12" xfId="0" applyNumberFormat="1" applyFont="1" applyFill="1" applyBorder="1" applyAlignment="1">
      <alignment horizontal="center" vertical="center"/>
    </xf>
    <xf numFmtId="3" fontId="30" fillId="6" borderId="14" xfId="0" applyNumberFormat="1" applyFont="1" applyFill="1" applyBorder="1" applyAlignment="1">
      <alignment horizontal="center" vertical="center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0" fillId="0" borderId="37" xfId="0" applyBorder="1" applyAlignment="1" applyProtection="1">
      <alignment horizontal="left" vertical="center"/>
      <protection locked="0"/>
    </xf>
    <xf numFmtId="0" fontId="27" fillId="0" borderId="15" xfId="0" applyFont="1" applyBorder="1" applyAlignment="1" applyProtection="1">
      <alignment horizontal="left" vertical="center"/>
      <protection locked="0"/>
    </xf>
    <xf numFmtId="0" fontId="27" fillId="0" borderId="16" xfId="0" applyFont="1" applyBorder="1" applyAlignment="1" applyProtection="1">
      <alignment horizontal="left" vertical="center"/>
      <protection locked="0"/>
    </xf>
    <xf numFmtId="0" fontId="10" fillId="9" borderId="15" xfId="1" applyFont="1" applyFill="1" applyBorder="1" applyAlignment="1" applyProtection="1">
      <alignment horizontal="left"/>
      <protection locked="0"/>
    </xf>
    <xf numFmtId="0" fontId="10" fillId="9" borderId="16" xfId="1" applyFont="1" applyFill="1" applyBorder="1" applyAlignment="1" applyProtection="1">
      <alignment horizontal="left"/>
      <protection locked="0"/>
    </xf>
    <xf numFmtId="0" fontId="10" fillId="9" borderId="3" xfId="1" applyFont="1" applyFill="1" applyBorder="1" applyAlignment="1" applyProtection="1">
      <alignment horizontal="left"/>
      <protection locked="0"/>
    </xf>
    <xf numFmtId="0" fontId="8" fillId="5" borderId="0" xfId="0" applyFont="1" applyFill="1" applyAlignment="1" applyProtection="1">
      <alignment horizontal="left" vertical="center"/>
      <protection locked="0"/>
    </xf>
    <xf numFmtId="0" fontId="5" fillId="5" borderId="0" xfId="0" applyFont="1" applyFill="1" applyAlignment="1" applyProtection="1">
      <alignment horizontal="left" vertical="center"/>
      <protection locked="0"/>
    </xf>
    <xf numFmtId="0" fontId="7" fillId="8" borderId="8" xfId="0" applyFont="1" applyFill="1" applyBorder="1" applyAlignment="1" applyProtection="1">
      <alignment horizontal="center" vertical="center"/>
      <protection locked="0"/>
    </xf>
    <xf numFmtId="0" fontId="7" fillId="8" borderId="9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 vertical="center"/>
      <protection locked="0"/>
    </xf>
    <xf numFmtId="0" fontId="7" fillId="8" borderId="14" xfId="0" applyFont="1" applyFill="1" applyBorder="1" applyAlignment="1" applyProtection="1">
      <alignment horizontal="center" vertical="center"/>
      <protection locked="0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29" fillId="0" borderId="15" xfId="0" applyFont="1" applyBorder="1" applyAlignment="1" applyProtection="1">
      <alignment horizontal="left" vertical="center"/>
      <protection locked="0"/>
    </xf>
    <xf numFmtId="0" fontId="29" fillId="0" borderId="16" xfId="0" applyFont="1" applyBorder="1" applyAlignment="1" applyProtection="1">
      <alignment horizontal="left" vertical="center"/>
      <protection locked="0"/>
    </xf>
    <xf numFmtId="0" fontId="29" fillId="0" borderId="3" xfId="0" applyFont="1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center"/>
      <protection locked="0"/>
    </xf>
    <xf numFmtId="0" fontId="4" fillId="0" borderId="16" xfId="1" applyFont="1" applyBorder="1" applyAlignment="1" applyProtection="1">
      <alignment horizontal="center"/>
      <protection locked="0"/>
    </xf>
    <xf numFmtId="0" fontId="21" fillId="3" borderId="17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4" fillId="0" borderId="15" xfId="1" applyFont="1" applyBorder="1" applyAlignment="1" applyProtection="1">
      <alignment horizontal="left" vertical="center"/>
      <protection locked="0"/>
    </xf>
    <xf numFmtId="0" fontId="4" fillId="0" borderId="16" xfId="1" applyFont="1" applyBorder="1" applyAlignment="1" applyProtection="1">
      <alignment horizontal="left" vertical="center"/>
      <protection locked="0"/>
    </xf>
    <xf numFmtId="0" fontId="4" fillId="0" borderId="3" xfId="1" applyFont="1" applyBorder="1" applyAlignment="1" applyProtection="1">
      <alignment horizontal="left" vertical="center"/>
      <protection locked="0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8" xfId="9" applyFont="1" applyFill="1" applyBorder="1" applyAlignment="1" applyProtection="1">
      <alignment horizontal="left" vertical="top"/>
      <protection locked="0"/>
    </xf>
    <xf numFmtId="0" fontId="6" fillId="2" borderId="9" xfId="9" applyFont="1" applyFill="1" applyBorder="1" applyAlignment="1" applyProtection="1">
      <alignment horizontal="left" vertical="top"/>
      <protection locked="0"/>
    </xf>
    <xf numFmtId="0" fontId="6" fillId="2" borderId="0" xfId="9" applyFont="1" applyFill="1" applyAlignment="1" applyProtection="1">
      <alignment horizontal="left" vertical="top"/>
      <protection locked="0"/>
    </xf>
    <xf numFmtId="0" fontId="6" fillId="2" borderId="10" xfId="9" applyFont="1" applyFill="1" applyBorder="1" applyAlignment="1" applyProtection="1">
      <alignment horizontal="left" vertical="top"/>
      <protection locked="0"/>
    </xf>
    <xf numFmtId="0" fontId="6" fillId="2" borderId="12" xfId="9" applyFont="1" applyFill="1" applyBorder="1" applyAlignment="1" applyProtection="1">
      <alignment horizontal="left" vertical="top"/>
      <protection locked="0"/>
    </xf>
    <xf numFmtId="0" fontId="6" fillId="2" borderId="13" xfId="9" applyFont="1" applyFill="1" applyBorder="1" applyAlignment="1" applyProtection="1">
      <alignment horizontal="left" vertical="top"/>
      <protection locked="0"/>
    </xf>
    <xf numFmtId="0" fontId="6" fillId="2" borderId="14" xfId="9" applyFont="1" applyFill="1" applyBorder="1" applyAlignment="1" applyProtection="1">
      <alignment horizontal="left" vertical="top"/>
      <protection locked="0"/>
    </xf>
    <xf numFmtId="0" fontId="0" fillId="0" borderId="39" xfId="0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0" fillId="0" borderId="38" xfId="0" applyBorder="1" applyAlignment="1" applyProtection="1">
      <alignment horizontal="left" vertical="center"/>
      <protection locked="0"/>
    </xf>
  </cellXfs>
  <cellStyles count="13">
    <cellStyle name="Euro" xfId="10" xr:uid="{00000000-0005-0000-0000-000000000000}"/>
    <cellStyle name="Millares [0]" xfId="12" builtinId="6"/>
    <cellStyle name="Normal" xfId="0" builtinId="0"/>
    <cellStyle name="Normal 2" xfId="1" xr:uid="{00000000-0005-0000-0000-000002000000}"/>
    <cellStyle name="Normal 2 2" xfId="11" xr:uid="{00000000-0005-0000-0000-000003000000}"/>
    <cellStyle name="Normal 3" xfId="3" xr:uid="{00000000-0005-0000-0000-000004000000}"/>
    <cellStyle name="Normal 4" xfId="5" xr:uid="{00000000-0005-0000-0000-000005000000}"/>
    <cellStyle name="Normal 5" xfId="7" xr:uid="{00000000-0005-0000-0000-000006000000}"/>
    <cellStyle name="Normal 6" xfId="9" xr:uid="{00000000-0005-0000-0000-000007000000}"/>
    <cellStyle name="Porcentual 2" xfId="2" xr:uid="{00000000-0005-0000-0000-000008000000}"/>
    <cellStyle name="Porcentual 3" xfId="4" xr:uid="{00000000-0005-0000-0000-000009000000}"/>
    <cellStyle name="Porcentual 4" xfId="6" xr:uid="{00000000-0005-0000-0000-00000A000000}"/>
    <cellStyle name="Porcentual 5" xfId="8" xr:uid="{00000000-0005-0000-0000-00000B000000}"/>
  </cellStyles>
  <dxfs count="2">
    <dxf>
      <fill>
        <patternFill>
          <bgColor theme="2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FFFF00"/>
      <color rgb="FFFFFFFF"/>
      <color rgb="FFFFAFAF"/>
      <color rgb="FF2DED23"/>
      <color rgb="FFF59327"/>
      <color rgb="FF5CF034"/>
      <color rgb="FFFF5B5B"/>
      <color rgb="FFA267F9"/>
      <color rgb="FFFF674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2.png"/><Relationship Id="rId7" Type="http://schemas.openxmlformats.org/officeDocument/2006/relationships/customXml" Target="../ink/ink2.xml"/><Relationship Id="rId12" Type="http://schemas.openxmlformats.org/officeDocument/2006/relationships/customXml" Target="../ink/ink7.xml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10" Type="http://schemas.openxmlformats.org/officeDocument/2006/relationships/customXml" Target="../ink/ink5.xml"/><Relationship Id="rId9" Type="http://schemas.openxmlformats.org/officeDocument/2006/relationships/customXml" Target="../ink/ink4.xml"/><Relationship Id="rId1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2</xdr:row>
      <xdr:rowOff>180975</xdr:rowOff>
    </xdr:from>
    <xdr:to>
      <xdr:col>4</xdr:col>
      <xdr:colOff>66675</xdr:colOff>
      <xdr:row>3</xdr:row>
      <xdr:rowOff>312644</xdr:rowOff>
    </xdr:to>
    <xdr:pic>
      <xdr:nvPicPr>
        <xdr:cNvPr id="2" name="1 Imagen" descr="logotipo alcaldia version para documentos wor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0" y="571500"/>
          <a:ext cx="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236100</xdr:colOff>
      <xdr:row>44</xdr:row>
      <xdr:rowOff>182520</xdr:rowOff>
    </xdr:from>
    <xdr:to>
      <xdr:col>14</xdr:col>
      <xdr:colOff>0</xdr:colOff>
      <xdr:row>44</xdr:row>
      <xdr:rowOff>182880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14:cNvPr>
            <xdr14:cNvContentPartPr/>
          </xdr14:nvContentPartPr>
          <xdr14:nvPr macro=""/>
          <xdr14:xfrm>
            <a:off x="12130920" y="12991740"/>
            <a:ext cx="360" cy="36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3038C48A-42E9-4901-9498-98C91B3BC0E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122280" y="129831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1577040</xdr:colOff>
      <xdr:row>44</xdr:row>
      <xdr:rowOff>7500</xdr:rowOff>
    </xdr:from>
    <xdr:to>
      <xdr:col>12</xdr:col>
      <xdr:colOff>1577400</xdr:colOff>
      <xdr:row>44</xdr:row>
      <xdr:rowOff>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14:cNvPr>
            <xdr14:cNvContentPartPr/>
          </xdr14:nvContentPartPr>
          <xdr14:nvPr macro=""/>
          <xdr14:xfrm>
            <a:off x="10050480" y="12504300"/>
            <a:ext cx="360" cy="36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94462F5-F64B-47DF-96BF-BB6FE27F746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041480" y="124956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0</xdr:colOff>
      <xdr:row>13</xdr:row>
      <xdr:rowOff>281640</xdr:rowOff>
    </xdr:from>
    <xdr:to>
      <xdr:col>14</xdr:col>
      <xdr:colOff>0</xdr:colOff>
      <xdr:row>13</xdr:row>
      <xdr:rowOff>282000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14:cNvPr>
            <xdr14:cNvContentPartPr/>
          </xdr14:nvContentPartPr>
          <xdr14:nvPr macro=""/>
          <xdr14:xfrm>
            <a:off x="13883400" y="3009600"/>
            <a:ext cx="360" cy="36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0AB808CC-3C81-47BF-894F-7125E133103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874400" y="3000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236220</xdr:colOff>
      <xdr:row>20</xdr:row>
      <xdr:rowOff>98940</xdr:rowOff>
    </xdr:from>
    <xdr:to>
      <xdr:col>2</xdr:col>
      <xdr:colOff>236580</xdr:colOff>
      <xdr:row>20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14:cNvPr>
            <xdr14:cNvContentPartPr/>
          </xdr14:nvContentPartPr>
          <xdr14:nvPr macro=""/>
          <xdr14:xfrm>
            <a:off x="1051560" y="5013840"/>
            <a:ext cx="360" cy="360"/>
          </xdr14:xfrm>
        </xdr:contentPart>
      </mc:Choice>
      <mc:Fallback xmlns="">
        <xdr:pic>
          <xdr:nvPicPr>
            <xdr:cNvPr id="13" name="Entrada de lápiz 12">
              <a:extLst>
                <a:ext uri="{FF2B5EF4-FFF2-40B4-BE49-F238E27FC236}">
                  <a16:creationId xmlns:a16="http://schemas.microsoft.com/office/drawing/2014/main" id="{97BA14A5-7E66-4580-8B9B-C288EBAE31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2560" y="5005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403620</xdr:colOff>
      <xdr:row>20</xdr:row>
      <xdr:rowOff>190380</xdr:rowOff>
    </xdr:from>
    <xdr:to>
      <xdr:col>2</xdr:col>
      <xdr:colOff>403980</xdr:colOff>
      <xdr:row>20</xdr:row>
      <xdr:rowOff>190740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14:cNvPr>
            <xdr14:cNvContentPartPr/>
          </xdr14:nvContentPartPr>
          <xdr14:nvPr macro=""/>
          <xdr14:xfrm>
            <a:off x="1218960" y="5105280"/>
            <a:ext cx="360" cy="36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9BE9C6DA-F4AA-426E-8DC5-1E50114D1C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09960" y="5096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464820</xdr:colOff>
      <xdr:row>19</xdr:row>
      <xdr:rowOff>68280</xdr:rowOff>
    </xdr:from>
    <xdr:to>
      <xdr:col>2</xdr:col>
      <xdr:colOff>465180</xdr:colOff>
      <xdr:row>19</xdr:row>
      <xdr:rowOff>68640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14:cNvPr>
            <xdr14:cNvContentPartPr/>
          </xdr14:nvContentPartPr>
          <xdr14:nvPr macro=""/>
          <xdr14:xfrm>
            <a:off x="1280160" y="4670760"/>
            <a:ext cx="360" cy="36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6F427E38-9608-443D-9612-504B4B0C291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160" y="4662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472380</xdr:colOff>
      <xdr:row>20</xdr:row>
      <xdr:rowOff>159780</xdr:rowOff>
    </xdr:from>
    <xdr:to>
      <xdr:col>2</xdr:col>
      <xdr:colOff>472740</xdr:colOff>
      <xdr:row>20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14:cNvPr>
            <xdr14:cNvContentPartPr/>
          </xdr14:nvContentPartPr>
          <xdr14:nvPr macro=""/>
          <xdr14:xfrm>
            <a:off x="1287720" y="5074680"/>
            <a:ext cx="360" cy="36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759CAC47-6E37-447A-A76D-AADB1473E6C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8720" y="5066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270272</xdr:colOff>
      <xdr:row>1</xdr:row>
      <xdr:rowOff>76200</xdr:rowOff>
    </xdr:from>
    <xdr:to>
      <xdr:col>2</xdr:col>
      <xdr:colOff>640416</xdr:colOff>
      <xdr:row>3</xdr:row>
      <xdr:rowOff>236532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212162A-0923-D7CD-7EBD-E55C0FCBC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97" y="276225"/>
          <a:ext cx="1017844" cy="950907"/>
        </a:xfrm>
        <a:prstGeom prst="rect">
          <a:avLst/>
        </a:prstGeom>
      </xdr:spPr>
    </xdr:pic>
    <xdr:clientData/>
  </xdr:twoCellAnchor>
  <xdr:twoCellAnchor editAs="oneCell">
    <xdr:from>
      <xdr:col>12</xdr:col>
      <xdr:colOff>327491</xdr:colOff>
      <xdr:row>1</xdr:row>
      <xdr:rowOff>79560</xdr:rowOff>
    </xdr:from>
    <xdr:to>
      <xdr:col>12</xdr:col>
      <xdr:colOff>1380560</xdr:colOff>
      <xdr:row>3</xdr:row>
      <xdr:rowOff>257734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D06B329-D89F-4B95-9BE1-487C014E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prstClr val="black"/>
            <a:schemeClr val="accent1">
              <a:lumMod val="50000"/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4291" y="279585"/>
          <a:ext cx="1053069" cy="968749"/>
        </a:xfrm>
        <a:prstGeom prst="rect">
          <a:avLst/>
        </a:prstGeom>
      </xdr:spPr>
    </xdr:pic>
    <xdr:clientData/>
  </xdr:twoCellAnchor>
  <xdr:twoCellAnchor>
    <xdr:from>
      <xdr:col>2</xdr:col>
      <xdr:colOff>828674</xdr:colOff>
      <xdr:row>1</xdr:row>
      <xdr:rowOff>47624</xdr:rowOff>
    </xdr:from>
    <xdr:to>
      <xdr:col>3</xdr:col>
      <xdr:colOff>838200</xdr:colOff>
      <xdr:row>3</xdr:row>
      <xdr:rowOff>251236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6BD1C-6494-F3B2-6CF7-412AEFD1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399" y="247649"/>
          <a:ext cx="962026" cy="994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4.04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17:35.66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1.87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1,'-1'0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5.455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6.23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8.75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6-13T13:21:39.41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3"/>
  <sheetViews>
    <sheetView tabSelected="1" topLeftCell="A31" zoomScaleNormal="100" workbookViewId="0">
      <selection activeCell="F47" sqref="F47:I47"/>
    </sheetView>
  </sheetViews>
  <sheetFormatPr baseColWidth="10" defaultColWidth="11.42578125" defaultRowHeight="15"/>
  <cols>
    <col min="1" max="1" width="3" style="6" customWidth="1"/>
    <col min="2" max="2" width="9.7109375" style="3" customWidth="1"/>
    <col min="3" max="3" width="14.28515625" style="2" customWidth="1"/>
    <col min="4" max="4" width="14.140625" style="3" customWidth="1"/>
    <col min="5" max="5" width="15.42578125" style="3" customWidth="1"/>
    <col min="6" max="6" width="15.5703125" style="3" customWidth="1"/>
    <col min="7" max="8" width="8.140625" style="2" customWidth="1"/>
    <col min="9" max="9" width="9.28515625" style="2" customWidth="1"/>
    <col min="10" max="10" width="9.140625" style="2" customWidth="1"/>
    <col min="11" max="11" width="11.42578125" style="2" customWidth="1"/>
    <col min="12" max="12" width="12" style="2" customWidth="1"/>
    <col min="13" max="13" width="45.140625" style="2" customWidth="1"/>
    <col min="14" max="14" width="5.85546875" style="71" customWidth="1"/>
    <col min="15" max="19" width="24.85546875" style="71" hidden="1" customWidth="1"/>
    <col min="20" max="20" width="24.85546875" style="71" customWidth="1"/>
    <col min="21" max="21" width="11.42578125" style="71"/>
    <col min="22" max="31" width="11.42578125" style="6"/>
    <col min="32" max="16384" width="11.42578125" style="2"/>
  </cols>
  <sheetData>
    <row r="1" spans="1:31" s="6" customFormat="1" ht="15.75" thickBot="1">
      <c r="B1" s="53"/>
      <c r="D1" s="53"/>
      <c r="E1" s="53"/>
      <c r="F1" s="53"/>
      <c r="N1" s="71"/>
      <c r="O1" s="71"/>
      <c r="P1" s="71"/>
      <c r="Q1" s="71"/>
      <c r="R1" s="71"/>
      <c r="S1" s="71"/>
      <c r="T1" s="71"/>
      <c r="U1" s="71"/>
    </row>
    <row r="2" spans="1:31" ht="25.5" customHeight="1">
      <c r="B2" s="107"/>
      <c r="C2" s="108"/>
      <c r="D2" s="109"/>
      <c r="E2" s="118" t="s">
        <v>18</v>
      </c>
      <c r="F2" s="119"/>
      <c r="G2" s="119"/>
      <c r="H2" s="119"/>
      <c r="I2" s="119"/>
      <c r="J2" s="119"/>
      <c r="K2" s="119"/>
      <c r="L2" s="120"/>
      <c r="M2" s="67" t="s">
        <v>15</v>
      </c>
      <c r="P2" s="73"/>
      <c r="Q2" s="73"/>
    </row>
    <row r="3" spans="1:31" ht="36.75" customHeight="1">
      <c r="B3" s="110"/>
      <c r="C3" s="111"/>
      <c r="D3" s="112"/>
      <c r="E3" s="121" t="s">
        <v>68</v>
      </c>
      <c r="F3" s="122"/>
      <c r="G3" s="122"/>
      <c r="H3" s="122"/>
      <c r="I3" s="122"/>
      <c r="J3" s="122"/>
      <c r="K3" s="122"/>
      <c r="L3" s="123"/>
      <c r="M3" s="68" t="str">
        <f>CONCATENATE("BITACORA ",M6)</f>
        <v>BITACORA 3 - 11°</v>
      </c>
      <c r="P3" s="73"/>
      <c r="Q3" s="73"/>
    </row>
    <row r="4" spans="1:31" ht="25.5" customHeight="1" thickBot="1">
      <c r="B4" s="113"/>
      <c r="C4" s="114"/>
      <c r="D4" s="115"/>
      <c r="E4" s="124" t="s">
        <v>29</v>
      </c>
      <c r="F4" s="125"/>
      <c r="G4" s="125"/>
      <c r="H4" s="125"/>
      <c r="I4" s="125"/>
      <c r="J4" s="125"/>
      <c r="K4" s="125"/>
      <c r="L4" s="126"/>
      <c r="M4" s="69" t="str">
        <f ca="1">CONCATENATE("AÑO: ", S9)</f>
        <v>AÑO: 2026</v>
      </c>
      <c r="P4" s="73"/>
      <c r="Q4" s="73"/>
      <c r="S4" s="75"/>
    </row>
    <row r="5" spans="1:31" ht="20.25" customHeight="1" thickBot="1">
      <c r="B5" s="84" t="s">
        <v>16</v>
      </c>
      <c r="C5" s="85"/>
      <c r="D5" s="86"/>
      <c r="E5" s="137" t="s">
        <v>76</v>
      </c>
      <c r="F5" s="138"/>
      <c r="G5" s="138"/>
      <c r="H5" s="138"/>
      <c r="I5" s="138"/>
      <c r="J5" s="138"/>
      <c r="K5" s="138"/>
      <c r="L5" s="138"/>
      <c r="M5" s="139"/>
      <c r="P5" s="73"/>
      <c r="Q5" s="73"/>
    </row>
    <row r="6" spans="1:31" ht="19.5" customHeight="1" thickBot="1">
      <c r="B6" s="84" t="s">
        <v>28</v>
      </c>
      <c r="C6" s="85"/>
      <c r="D6" s="86"/>
      <c r="E6" s="127" t="s">
        <v>77</v>
      </c>
      <c r="F6" s="128"/>
      <c r="G6" s="128"/>
      <c r="H6" s="128"/>
      <c r="I6" s="129"/>
      <c r="J6" s="84" t="s">
        <v>32</v>
      </c>
      <c r="K6" s="85"/>
      <c r="L6" s="86"/>
      <c r="M6" s="77" t="s">
        <v>52</v>
      </c>
      <c r="P6" s="73"/>
      <c r="Q6" s="73"/>
    </row>
    <row r="7" spans="1:31" ht="19.5" customHeight="1" thickBot="1">
      <c r="B7" s="84" t="s">
        <v>30</v>
      </c>
      <c r="C7" s="85"/>
      <c r="D7" s="86"/>
      <c r="E7" s="134" t="s">
        <v>78</v>
      </c>
      <c r="F7" s="135"/>
      <c r="G7" s="135"/>
      <c r="H7" s="135"/>
      <c r="I7" s="136"/>
      <c r="J7" s="84" t="s">
        <v>33</v>
      </c>
      <c r="K7" s="85"/>
      <c r="L7" s="86"/>
      <c r="M7" s="78" t="s">
        <v>14</v>
      </c>
      <c r="P7" s="73"/>
      <c r="Q7" s="73"/>
    </row>
    <row r="8" spans="1:31" ht="19.5" customHeight="1" thickBot="1">
      <c r="B8" s="84" t="s">
        <v>62</v>
      </c>
      <c r="C8" s="85"/>
      <c r="D8" s="86"/>
      <c r="E8" s="127">
        <v>1139225166</v>
      </c>
      <c r="F8" s="128"/>
      <c r="G8" s="128"/>
      <c r="H8" s="128"/>
      <c r="I8" s="129"/>
      <c r="J8" s="84" t="s">
        <v>34</v>
      </c>
      <c r="K8" s="85"/>
      <c r="L8" s="86"/>
      <c r="M8" s="79" t="s">
        <v>31</v>
      </c>
      <c r="P8" s="73"/>
      <c r="Q8" s="73"/>
      <c r="S8" s="71">
        <v>2025</v>
      </c>
    </row>
    <row r="9" spans="1:31" ht="18.75" customHeight="1" thickBot="1">
      <c r="B9" s="87" t="s">
        <v>17</v>
      </c>
      <c r="C9" s="88"/>
      <c r="D9" s="89"/>
      <c r="E9" s="100" t="s">
        <v>64</v>
      </c>
      <c r="F9" s="101"/>
      <c r="G9" s="102" t="s">
        <v>35</v>
      </c>
      <c r="H9" s="103"/>
      <c r="I9" s="104"/>
      <c r="J9" s="130" t="s">
        <v>89</v>
      </c>
      <c r="K9" s="131"/>
      <c r="L9" s="81" t="s">
        <v>67</v>
      </c>
      <c r="M9" s="80">
        <f ca="1">TODAY()</f>
        <v>46165</v>
      </c>
      <c r="P9" s="73"/>
      <c r="Q9" s="73"/>
      <c r="S9" s="71">
        <f ca="1">YEAR(TODAY())</f>
        <v>2026</v>
      </c>
    </row>
    <row r="10" spans="1:31" ht="15.75" customHeight="1" thickBot="1">
      <c r="B10" s="132" t="s">
        <v>2</v>
      </c>
      <c r="C10" s="146" t="s">
        <v>19</v>
      </c>
      <c r="D10" s="147"/>
      <c r="E10" s="147"/>
      <c r="F10" s="148"/>
      <c r="G10" s="140" t="s">
        <v>22</v>
      </c>
      <c r="H10" s="141"/>
      <c r="I10" s="141"/>
      <c r="J10" s="141"/>
      <c r="K10" s="142"/>
      <c r="L10" s="116" t="s">
        <v>20</v>
      </c>
      <c r="M10" s="116" t="s">
        <v>74</v>
      </c>
      <c r="P10" s="73"/>
      <c r="Q10" s="73"/>
    </row>
    <row r="11" spans="1:31" s="5" customFormat="1" ht="45.75" customHeight="1" thickBot="1">
      <c r="A11" s="72"/>
      <c r="B11" s="133"/>
      <c r="C11" s="17" t="s">
        <v>3</v>
      </c>
      <c r="D11" s="18" t="s">
        <v>4</v>
      </c>
      <c r="E11" s="18" t="s">
        <v>5</v>
      </c>
      <c r="F11" s="16" t="s">
        <v>21</v>
      </c>
      <c r="G11" s="143"/>
      <c r="H11" s="144"/>
      <c r="I11" s="144"/>
      <c r="J11" s="144"/>
      <c r="K11" s="145"/>
      <c r="L11" s="117"/>
      <c r="M11" s="117"/>
      <c r="N11" s="71"/>
      <c r="O11" s="71"/>
      <c r="P11" s="73">
        <v>0.33333333333333331</v>
      </c>
      <c r="Q11" s="73">
        <v>0.33333333333333331</v>
      </c>
      <c r="R11" s="71"/>
      <c r="S11" s="71"/>
      <c r="T11" s="71"/>
      <c r="U11" s="71"/>
      <c r="V11" s="6"/>
      <c r="W11" s="72"/>
      <c r="X11" s="72"/>
      <c r="Y11" s="72"/>
      <c r="Z11" s="72"/>
      <c r="AA11" s="72"/>
      <c r="AB11" s="72"/>
      <c r="AC11" s="72"/>
      <c r="AD11" s="72"/>
      <c r="AE11" s="72"/>
    </row>
    <row r="12" spans="1:31" s="6" customFormat="1" ht="24.95" customHeight="1" thickBot="1">
      <c r="B12" s="33">
        <v>1</v>
      </c>
      <c r="C12" s="15" t="s">
        <v>11</v>
      </c>
      <c r="D12" s="26">
        <v>0.58333333333333404</v>
      </c>
      <c r="E12" s="27">
        <v>0.75</v>
      </c>
      <c r="F12" s="19">
        <f>IF(D12="",0,IF((E12-D12)*24&lt; 0,0,(E12-D12)*24))</f>
        <v>3.9999999999999831</v>
      </c>
      <c r="G12" s="97" t="s">
        <v>90</v>
      </c>
      <c r="H12" s="98"/>
      <c r="I12" s="98"/>
      <c r="J12" s="98"/>
      <c r="K12" s="99"/>
      <c r="L12" s="66">
        <f>F12</f>
        <v>3.9999999999999831</v>
      </c>
      <c r="M12" s="8"/>
      <c r="N12" s="71"/>
      <c r="O12" s="71"/>
      <c r="P12" s="73">
        <v>0.375</v>
      </c>
      <c r="Q12" s="73">
        <v>0.375</v>
      </c>
      <c r="R12" s="71"/>
      <c r="S12" s="71"/>
      <c r="T12" s="71"/>
      <c r="U12" s="71"/>
    </row>
    <row r="13" spans="1:31" ht="24.95" customHeight="1" thickBot="1">
      <c r="B13" s="34">
        <v>2</v>
      </c>
      <c r="C13" s="15" t="s">
        <v>12</v>
      </c>
      <c r="D13" s="28">
        <v>0.33333333333333331</v>
      </c>
      <c r="E13" s="29">
        <v>0.5</v>
      </c>
      <c r="F13" s="20">
        <f t="shared" ref="F13:F42" si="0">IF(D13="",0,IF((E13-D13)*24&lt; 0,0,(E13-D13)*24))</f>
        <v>4</v>
      </c>
      <c r="G13" s="94" t="s">
        <v>91</v>
      </c>
      <c r="H13" s="95"/>
      <c r="I13" s="95"/>
      <c r="J13" s="95"/>
      <c r="K13" s="96"/>
      <c r="L13" s="66">
        <f>IF(F13=0,0,SUM(F13,L12))</f>
        <v>7.9999999999999831</v>
      </c>
      <c r="M13" s="8"/>
      <c r="P13" s="73">
        <v>0.41666666666666669</v>
      </c>
      <c r="Q13" s="73">
        <v>0.41666666666666669</v>
      </c>
      <c r="R13" s="71" t="s">
        <v>64</v>
      </c>
      <c r="T13" s="70" t="s">
        <v>72</v>
      </c>
    </row>
    <row r="14" spans="1:31" ht="24.95" customHeight="1" thickBot="1">
      <c r="B14" s="35">
        <v>3</v>
      </c>
      <c r="C14" s="15" t="s">
        <v>8</v>
      </c>
      <c r="D14" s="28"/>
      <c r="E14" s="29"/>
      <c r="F14" s="20">
        <f t="shared" si="0"/>
        <v>0</v>
      </c>
      <c r="G14" s="94"/>
      <c r="H14" s="95"/>
      <c r="I14" s="95"/>
      <c r="J14" s="95"/>
      <c r="K14" s="96"/>
      <c r="L14" s="66">
        <f>IF(F14=0,0,SUM(F14,MAX( $L$12:L13)))</f>
        <v>0</v>
      </c>
      <c r="M14" s="8"/>
      <c r="P14" s="73">
        <v>0.45833333333333331</v>
      </c>
      <c r="Q14" s="73">
        <v>0.45833333333333331</v>
      </c>
      <c r="R14" s="71" t="s">
        <v>63</v>
      </c>
      <c r="S14" s="76" t="s">
        <v>42</v>
      </c>
      <c r="T14" s="71" t="s">
        <v>61</v>
      </c>
    </row>
    <row r="15" spans="1:31" ht="24.95" customHeight="1" thickBot="1">
      <c r="B15" s="34">
        <v>4</v>
      </c>
      <c r="C15" s="15" t="s">
        <v>6</v>
      </c>
      <c r="D15" s="28"/>
      <c r="E15" s="29"/>
      <c r="F15" s="20">
        <f t="shared" si="0"/>
        <v>0</v>
      </c>
      <c r="G15" s="94"/>
      <c r="H15" s="95"/>
      <c r="I15" s="95"/>
      <c r="J15" s="95"/>
      <c r="K15" s="96"/>
      <c r="L15" s="66">
        <f>IF(F15=0,0,SUM(F15,MAX( $L$12:L14)))</f>
        <v>0</v>
      </c>
      <c r="M15" s="8"/>
      <c r="P15" s="73">
        <v>0.5</v>
      </c>
      <c r="Q15" s="73">
        <v>0.5</v>
      </c>
      <c r="R15" s="71" t="s">
        <v>65</v>
      </c>
      <c r="S15" s="76" t="s">
        <v>43</v>
      </c>
      <c r="T15" s="71" t="s">
        <v>69</v>
      </c>
    </row>
    <row r="16" spans="1:31" ht="24.95" customHeight="1" thickBot="1">
      <c r="B16" s="35">
        <v>5</v>
      </c>
      <c r="C16" s="15" t="s">
        <v>7</v>
      </c>
      <c r="D16" s="30"/>
      <c r="E16" s="29"/>
      <c r="F16" s="20">
        <f t="shared" si="0"/>
        <v>0</v>
      </c>
      <c r="G16" s="94"/>
      <c r="H16" s="95"/>
      <c r="I16" s="95"/>
      <c r="J16" s="95"/>
      <c r="K16" s="96"/>
      <c r="L16" s="66">
        <f>IF(F16=0,0,SUM(F16,MAX( $L$12:L15)))</f>
        <v>0</v>
      </c>
      <c r="M16" s="8"/>
      <c r="P16" s="73">
        <v>0.54166666666666696</v>
      </c>
      <c r="Q16" s="73">
        <v>0.54166666666666696</v>
      </c>
      <c r="R16" s="71" t="s">
        <v>66</v>
      </c>
      <c r="S16" s="76" t="s">
        <v>44</v>
      </c>
      <c r="T16" s="71" t="s">
        <v>71</v>
      </c>
    </row>
    <row r="17" spans="2:20" ht="24.95" customHeight="1" thickBot="1">
      <c r="B17" s="34">
        <v>6</v>
      </c>
      <c r="C17" s="15" t="s">
        <v>13</v>
      </c>
      <c r="D17" s="30">
        <v>0.58333333333333404</v>
      </c>
      <c r="E17" s="29">
        <v>0.75</v>
      </c>
      <c r="F17" s="20">
        <f t="shared" si="0"/>
        <v>3.9999999999999831</v>
      </c>
      <c r="G17" s="94" t="s">
        <v>83</v>
      </c>
      <c r="H17" s="95"/>
      <c r="I17" s="95"/>
      <c r="J17" s="95"/>
      <c r="K17" s="96"/>
      <c r="L17" s="66">
        <f>IF(F17=0,0,SUM(F17,MAX( $L$12:L16)))</f>
        <v>11.999999999999966</v>
      </c>
      <c r="M17" s="8"/>
      <c r="P17" s="73">
        <v>0.58333333333333404</v>
      </c>
      <c r="Q17" s="73">
        <v>0.58333333333333404</v>
      </c>
      <c r="R17" s="74"/>
      <c r="S17" s="76" t="s">
        <v>45</v>
      </c>
      <c r="T17" s="71" t="s">
        <v>75</v>
      </c>
    </row>
    <row r="18" spans="2:20" ht="24.95" customHeight="1" thickBot="1">
      <c r="B18" s="35">
        <v>7</v>
      </c>
      <c r="C18" s="15" t="s">
        <v>10</v>
      </c>
      <c r="D18" s="30">
        <v>0.58333333333333404</v>
      </c>
      <c r="E18" s="29">
        <v>0.75</v>
      </c>
      <c r="F18" s="20">
        <f t="shared" si="0"/>
        <v>3.9999999999999831</v>
      </c>
      <c r="G18" s="94" t="s">
        <v>88</v>
      </c>
      <c r="H18" s="95"/>
      <c r="I18" s="95"/>
      <c r="J18" s="95"/>
      <c r="K18" s="96"/>
      <c r="L18" s="66">
        <f>IF(F18=0,0,SUM(F18,MAX( $L$12:L17)))</f>
        <v>15.99999999999995</v>
      </c>
      <c r="M18" s="8"/>
      <c r="P18" s="73">
        <v>0.625</v>
      </c>
      <c r="Q18" s="73">
        <v>0.625</v>
      </c>
      <c r="R18" s="74"/>
      <c r="S18" s="76" t="s">
        <v>46</v>
      </c>
      <c r="T18" s="71" t="s">
        <v>73</v>
      </c>
    </row>
    <row r="19" spans="2:20" ht="24.95" customHeight="1" thickBot="1">
      <c r="B19" s="34">
        <v>8</v>
      </c>
      <c r="C19" s="15" t="s">
        <v>11</v>
      </c>
      <c r="D19" s="30">
        <v>0.58333333333333404</v>
      </c>
      <c r="E19" s="29">
        <v>0.75</v>
      </c>
      <c r="F19" s="20">
        <f t="shared" si="0"/>
        <v>3.9999999999999831</v>
      </c>
      <c r="G19" s="94" t="s">
        <v>84</v>
      </c>
      <c r="H19" s="95"/>
      <c r="I19" s="95"/>
      <c r="J19" s="95"/>
      <c r="K19" s="96"/>
      <c r="L19" s="66">
        <f>IF(F19=0,0,SUM(F19,MAX( $L$12:L18)))</f>
        <v>19.999999999999932</v>
      </c>
      <c r="M19" s="8"/>
      <c r="P19" s="73">
        <v>0.66666666666666696</v>
      </c>
      <c r="Q19" s="73">
        <v>0.66666666666666696</v>
      </c>
      <c r="R19" s="74"/>
      <c r="S19" s="76" t="s">
        <v>47</v>
      </c>
      <c r="T19" s="82"/>
    </row>
    <row r="20" spans="2:20" ht="24.95" customHeight="1" thickBot="1">
      <c r="B20" s="35">
        <v>9</v>
      </c>
      <c r="C20" s="15" t="s">
        <v>12</v>
      </c>
      <c r="D20" s="28">
        <v>0.33333333333333331</v>
      </c>
      <c r="E20" s="29">
        <v>0.5</v>
      </c>
      <c r="F20" s="20">
        <f t="shared" si="0"/>
        <v>4</v>
      </c>
      <c r="G20" s="94" t="s">
        <v>82</v>
      </c>
      <c r="H20" s="95"/>
      <c r="I20" s="95"/>
      <c r="J20" s="95"/>
      <c r="K20" s="96"/>
      <c r="L20" s="66">
        <f>IF(F20=0,0,SUM(F20,MAX( $L$12:L19)))</f>
        <v>23.999999999999932</v>
      </c>
      <c r="M20" s="8"/>
      <c r="P20" s="73">
        <v>0.70833333333333404</v>
      </c>
      <c r="Q20" s="73">
        <v>0.70833333333333404</v>
      </c>
      <c r="R20" s="74"/>
      <c r="S20" s="76" t="s">
        <v>48</v>
      </c>
    </row>
    <row r="21" spans="2:20" ht="24.95" customHeight="1" thickBot="1">
      <c r="B21" s="34">
        <v>10</v>
      </c>
      <c r="C21" s="15" t="s">
        <v>8</v>
      </c>
      <c r="D21" s="28"/>
      <c r="E21" s="29"/>
      <c r="F21" s="20">
        <f t="shared" si="0"/>
        <v>0</v>
      </c>
      <c r="G21" s="94"/>
      <c r="H21" s="95"/>
      <c r="I21" s="95"/>
      <c r="J21" s="95"/>
      <c r="K21" s="96"/>
      <c r="L21" s="66">
        <f>IF(F21=0,0,SUM(F21,MAX( $L$12:L20)))</f>
        <v>0</v>
      </c>
      <c r="M21" s="8"/>
      <c r="P21" s="73">
        <v>0.75</v>
      </c>
      <c r="Q21" s="73">
        <v>0.75</v>
      </c>
      <c r="R21" s="74"/>
      <c r="S21" s="76" t="s">
        <v>49</v>
      </c>
    </row>
    <row r="22" spans="2:20" ht="24.95" customHeight="1" thickBot="1">
      <c r="B22" s="35">
        <v>11</v>
      </c>
      <c r="C22" s="15" t="s">
        <v>6</v>
      </c>
      <c r="D22" s="28"/>
      <c r="E22" s="29"/>
      <c r="F22" s="20">
        <f t="shared" si="0"/>
        <v>0</v>
      </c>
      <c r="G22" s="94"/>
      <c r="H22" s="95"/>
      <c r="I22" s="95"/>
      <c r="J22" s="95"/>
      <c r="K22" s="96"/>
      <c r="L22" s="66">
        <f>IF(F22=0,0,SUM(F22,MAX( $L$12:L21)))</f>
        <v>0</v>
      </c>
      <c r="M22" s="8"/>
      <c r="P22" s="73">
        <v>0.79166666666666696</v>
      </c>
      <c r="Q22" s="73">
        <v>0.79166666666666696</v>
      </c>
      <c r="R22" s="74"/>
      <c r="S22" s="76" t="s">
        <v>60</v>
      </c>
    </row>
    <row r="23" spans="2:20" ht="24.95" customHeight="1" thickBot="1">
      <c r="B23" s="34">
        <v>12</v>
      </c>
      <c r="C23" s="15" t="s">
        <v>7</v>
      </c>
      <c r="D23" s="30"/>
      <c r="E23" s="29"/>
      <c r="F23" s="20">
        <f t="shared" si="0"/>
        <v>0</v>
      </c>
      <c r="G23" s="94"/>
      <c r="H23" s="95"/>
      <c r="I23" s="95"/>
      <c r="J23" s="95"/>
      <c r="K23" s="96"/>
      <c r="L23" s="66">
        <f>IF(F23=0,0,SUM(F23,MAX( $L$12:L22)))</f>
        <v>0</v>
      </c>
      <c r="M23" s="8"/>
      <c r="P23" s="73">
        <v>0.83333333333333404</v>
      </c>
      <c r="Q23" s="73">
        <v>0.83333333333333404</v>
      </c>
      <c r="R23" s="74"/>
      <c r="S23" s="76" t="s">
        <v>50</v>
      </c>
    </row>
    <row r="24" spans="2:20" ht="24.95" customHeight="1" thickBot="1">
      <c r="B24" s="35">
        <v>13</v>
      </c>
      <c r="C24" s="15" t="s">
        <v>13</v>
      </c>
      <c r="D24" s="30">
        <v>0.58333333333333404</v>
      </c>
      <c r="E24" s="29">
        <v>0.75</v>
      </c>
      <c r="F24" s="20">
        <f t="shared" si="0"/>
        <v>3.9999999999999831</v>
      </c>
      <c r="G24" s="94" t="s">
        <v>85</v>
      </c>
      <c r="H24" s="95"/>
      <c r="I24" s="95"/>
      <c r="J24" s="95"/>
      <c r="K24" s="96"/>
      <c r="L24" s="66">
        <f>IF(F24=0,0,SUM(F24,MAX( $L$12:L23)))</f>
        <v>27.999999999999915</v>
      </c>
      <c r="M24" s="8"/>
      <c r="P24" s="73"/>
      <c r="Q24" s="73"/>
      <c r="R24" s="74"/>
      <c r="S24" s="76" t="s">
        <v>51</v>
      </c>
    </row>
    <row r="25" spans="2:20" ht="24.95" customHeight="1" thickBot="1">
      <c r="B25" s="34">
        <v>14</v>
      </c>
      <c r="C25" s="15" t="s">
        <v>10</v>
      </c>
      <c r="D25" s="30">
        <v>0.58333333333333404</v>
      </c>
      <c r="E25" s="29">
        <v>0.75</v>
      </c>
      <c r="F25" s="20">
        <f t="shared" si="0"/>
        <v>3.9999999999999831</v>
      </c>
      <c r="G25" s="94" t="s">
        <v>88</v>
      </c>
      <c r="H25" s="95"/>
      <c r="I25" s="95"/>
      <c r="J25" s="95"/>
      <c r="K25" s="96"/>
      <c r="L25" s="66">
        <f>IF(F25=0,0,SUM(F25,MAX( $L$12:L24)))</f>
        <v>31.999999999999897</v>
      </c>
      <c r="M25" s="8"/>
      <c r="P25" s="73"/>
      <c r="Q25" s="73"/>
      <c r="R25" s="74"/>
      <c r="S25" s="76" t="s">
        <v>52</v>
      </c>
    </row>
    <row r="26" spans="2:20" ht="24.95" customHeight="1" thickBot="1">
      <c r="B26" s="35">
        <v>15</v>
      </c>
      <c r="C26" s="15" t="s">
        <v>11</v>
      </c>
      <c r="D26" s="30">
        <v>0.58333333333333404</v>
      </c>
      <c r="E26" s="29">
        <v>0.75</v>
      </c>
      <c r="F26" s="20">
        <f t="shared" si="0"/>
        <v>3.9999999999999831</v>
      </c>
      <c r="G26" s="94" t="s">
        <v>83</v>
      </c>
      <c r="H26" s="95"/>
      <c r="I26" s="95"/>
      <c r="J26" s="95"/>
      <c r="K26" s="96"/>
      <c r="L26" s="66">
        <f>IF(F26=0,0,SUM(F26,MAX( $L$12:L25)))</f>
        <v>35.999999999999879</v>
      </c>
      <c r="M26" s="8"/>
      <c r="P26" s="73"/>
      <c r="Q26" s="73"/>
      <c r="R26" s="74"/>
      <c r="S26" s="76" t="s">
        <v>53</v>
      </c>
    </row>
    <row r="27" spans="2:20" ht="24.95" customHeight="1" thickBot="1">
      <c r="B27" s="34">
        <v>16</v>
      </c>
      <c r="C27" s="15" t="s">
        <v>12</v>
      </c>
      <c r="D27" s="28">
        <v>0.33333333333333331</v>
      </c>
      <c r="E27" s="29">
        <v>0.66666666666666696</v>
      </c>
      <c r="F27" s="20">
        <f t="shared" si="0"/>
        <v>8.0000000000000071</v>
      </c>
      <c r="G27" s="94" t="s">
        <v>92</v>
      </c>
      <c r="H27" s="95"/>
      <c r="I27" s="95"/>
      <c r="J27" s="95"/>
      <c r="K27" s="96"/>
      <c r="L27" s="66">
        <f>IF(F27=0,0,SUM(F27,MAX( $L$12:L26)))</f>
        <v>43.999999999999886</v>
      </c>
      <c r="M27" s="8"/>
      <c r="P27" s="73"/>
      <c r="Q27" s="73"/>
      <c r="R27" s="74"/>
      <c r="S27" s="76" t="s">
        <v>54</v>
      </c>
    </row>
    <row r="28" spans="2:20" ht="24.95" customHeight="1" thickBot="1">
      <c r="B28" s="35">
        <v>17</v>
      </c>
      <c r="C28" s="15" t="s">
        <v>8</v>
      </c>
      <c r="D28" s="28"/>
      <c r="E28" s="29"/>
      <c r="F28" s="20">
        <f t="shared" si="0"/>
        <v>0</v>
      </c>
      <c r="G28" s="94"/>
      <c r="H28" s="95"/>
      <c r="I28" s="95"/>
      <c r="J28" s="95"/>
      <c r="K28" s="96"/>
      <c r="L28" s="66">
        <f>IF(F28=0,0,SUM(F28,MAX( $L$12:L27)))</f>
        <v>0</v>
      </c>
      <c r="M28" s="8"/>
      <c r="R28" s="74"/>
      <c r="S28" s="76" t="s">
        <v>55</v>
      </c>
    </row>
    <row r="29" spans="2:20" ht="24.95" customHeight="1" thickBot="1">
      <c r="B29" s="34">
        <v>18</v>
      </c>
      <c r="C29" s="15" t="s">
        <v>6</v>
      </c>
      <c r="D29" s="28"/>
      <c r="E29" s="29"/>
      <c r="F29" s="20">
        <f t="shared" si="0"/>
        <v>0</v>
      </c>
      <c r="G29" s="94"/>
      <c r="H29" s="95"/>
      <c r="I29" s="95"/>
      <c r="J29" s="95"/>
      <c r="K29" s="96"/>
      <c r="L29" s="66">
        <f>IF(F29=0,0,SUM(F29,MAX( $L$12:L28)))</f>
        <v>0</v>
      </c>
      <c r="M29" s="8"/>
      <c r="R29" s="74"/>
      <c r="S29" s="76" t="s">
        <v>56</v>
      </c>
    </row>
    <row r="30" spans="2:20" ht="24.95" customHeight="1" thickBot="1">
      <c r="B30" s="35">
        <v>19</v>
      </c>
      <c r="C30" s="15" t="s">
        <v>7</v>
      </c>
      <c r="D30" s="30"/>
      <c r="E30" s="29"/>
      <c r="F30" s="20">
        <f t="shared" si="0"/>
        <v>0</v>
      </c>
      <c r="G30" s="94"/>
      <c r="H30" s="95"/>
      <c r="I30" s="95"/>
      <c r="J30" s="95"/>
      <c r="K30" s="96"/>
      <c r="L30" s="66">
        <f>IF(F30=0,0,SUM(F30,MAX( $L$12:L29)))</f>
        <v>0</v>
      </c>
      <c r="M30" s="8"/>
      <c r="R30" s="74"/>
      <c r="S30" s="76" t="s">
        <v>57</v>
      </c>
    </row>
    <row r="31" spans="2:20" ht="24.95" customHeight="1" thickBot="1">
      <c r="B31" s="34">
        <v>20</v>
      </c>
      <c r="C31" s="15" t="s">
        <v>13</v>
      </c>
      <c r="D31" s="30">
        <v>0.58333333333333404</v>
      </c>
      <c r="E31" s="29">
        <v>0.75</v>
      </c>
      <c r="F31" s="20">
        <f t="shared" si="0"/>
        <v>3.9999999999999831</v>
      </c>
      <c r="G31" s="94" t="s">
        <v>95</v>
      </c>
      <c r="H31" s="95"/>
      <c r="I31" s="95"/>
      <c r="J31" s="95"/>
      <c r="K31" s="96"/>
      <c r="L31" s="66">
        <f>IF(F31=0,0,SUM(F31,MAX( $L$12:L30)))</f>
        <v>47.999999999999872</v>
      </c>
      <c r="M31" s="8"/>
      <c r="R31" s="74"/>
      <c r="S31" s="76" t="s">
        <v>58</v>
      </c>
    </row>
    <row r="32" spans="2:20" ht="24.95" customHeight="1" thickBot="1">
      <c r="B32" s="35">
        <v>21</v>
      </c>
      <c r="C32" s="15" t="s">
        <v>10</v>
      </c>
      <c r="D32" s="30">
        <v>0.58333333333333404</v>
      </c>
      <c r="E32" s="29">
        <v>0.75</v>
      </c>
      <c r="F32" s="20">
        <f t="shared" si="0"/>
        <v>3.9999999999999831</v>
      </c>
      <c r="G32" s="94" t="s">
        <v>94</v>
      </c>
      <c r="H32" s="95"/>
      <c r="I32" s="95"/>
      <c r="J32" s="95"/>
      <c r="K32" s="96"/>
      <c r="L32" s="66">
        <f>IF(F32=0,0,SUM(F32,MAX( $L$12:L31)))</f>
        <v>51.999999999999858</v>
      </c>
      <c r="M32" s="8"/>
      <c r="R32" s="74"/>
      <c r="S32" s="76" t="s">
        <v>59</v>
      </c>
    </row>
    <row r="33" spans="2:18" ht="24.95" customHeight="1" thickBot="1">
      <c r="B33" s="34">
        <v>22</v>
      </c>
      <c r="C33" s="15" t="s">
        <v>11</v>
      </c>
      <c r="D33" s="30">
        <v>0.58333333333333404</v>
      </c>
      <c r="E33" s="29">
        <v>0.75</v>
      </c>
      <c r="F33" s="20">
        <f t="shared" si="0"/>
        <v>3.9999999999999831</v>
      </c>
      <c r="G33" s="94" t="s">
        <v>86</v>
      </c>
      <c r="H33" s="95"/>
      <c r="I33" s="95"/>
      <c r="J33" s="95"/>
      <c r="K33" s="96"/>
      <c r="L33" s="66">
        <f>IF(F33=0,0,SUM(F33,MAX( $L$12:L32)))</f>
        <v>55.999999999999844</v>
      </c>
      <c r="M33" s="8"/>
      <c r="R33" s="74"/>
    </row>
    <row r="34" spans="2:18" ht="24.95" customHeight="1" thickBot="1">
      <c r="B34" s="35">
        <v>23</v>
      </c>
      <c r="C34" s="15" t="s">
        <v>12</v>
      </c>
      <c r="D34" s="28">
        <v>0.33333333333333331</v>
      </c>
      <c r="E34" s="29">
        <v>0.5</v>
      </c>
      <c r="F34" s="20">
        <f t="shared" si="0"/>
        <v>4</v>
      </c>
      <c r="G34" s="94" t="s">
        <v>82</v>
      </c>
      <c r="H34" s="95"/>
      <c r="I34" s="95"/>
      <c r="J34" s="95"/>
      <c r="K34" s="96"/>
      <c r="L34" s="66">
        <f>IF(F34=0,0,SUM(F34,MAX( $L$12:L33)))</f>
        <v>59.999999999999844</v>
      </c>
      <c r="M34" s="8"/>
      <c r="R34" s="74"/>
    </row>
    <row r="35" spans="2:18" ht="24.95" customHeight="1" thickBot="1">
      <c r="B35" s="34">
        <v>24</v>
      </c>
      <c r="C35" s="15" t="s">
        <v>8</v>
      </c>
      <c r="D35" s="28"/>
      <c r="E35" s="29"/>
      <c r="F35" s="20">
        <f t="shared" si="0"/>
        <v>0</v>
      </c>
      <c r="G35" s="94"/>
      <c r="H35" s="95"/>
      <c r="I35" s="95"/>
      <c r="J35" s="95"/>
      <c r="K35" s="96"/>
      <c r="L35" s="66">
        <f>IF(F35=0,0,SUM(F35,MAX( $L$12:L34)))</f>
        <v>0</v>
      </c>
      <c r="M35" s="8"/>
      <c r="R35" s="74"/>
    </row>
    <row r="36" spans="2:18" ht="24.95" customHeight="1" thickBot="1">
      <c r="B36" s="35">
        <v>25</v>
      </c>
      <c r="C36" s="15" t="s">
        <v>6</v>
      </c>
      <c r="D36" s="28"/>
      <c r="E36" s="29"/>
      <c r="F36" s="20">
        <f t="shared" si="0"/>
        <v>0</v>
      </c>
      <c r="G36" s="94"/>
      <c r="H36" s="95"/>
      <c r="I36" s="95"/>
      <c r="J36" s="95"/>
      <c r="K36" s="96"/>
      <c r="L36" s="66">
        <f>IF(F36=0,0,SUM(F36,MAX( $L$12:L35)))</f>
        <v>0</v>
      </c>
      <c r="M36" s="8"/>
      <c r="R36" s="74"/>
    </row>
    <row r="37" spans="2:18" ht="24.95" customHeight="1" thickBot="1">
      <c r="B37" s="34">
        <v>26</v>
      </c>
      <c r="C37" s="15" t="s">
        <v>7</v>
      </c>
      <c r="D37" s="30"/>
      <c r="E37" s="29"/>
      <c r="F37" s="20">
        <f t="shared" si="0"/>
        <v>0</v>
      </c>
      <c r="G37" s="94"/>
      <c r="H37" s="95"/>
      <c r="I37" s="95"/>
      <c r="J37" s="95"/>
      <c r="K37" s="96"/>
      <c r="L37" s="66">
        <f>IF(F37=0,0,SUM(F37,MAX( $L$12:L36)))</f>
        <v>0</v>
      </c>
      <c r="M37" s="8"/>
      <c r="R37" s="74"/>
    </row>
    <row r="38" spans="2:18" ht="24.95" customHeight="1" thickBot="1">
      <c r="B38" s="35">
        <v>27</v>
      </c>
      <c r="C38" s="15" t="s">
        <v>13</v>
      </c>
      <c r="D38" s="30">
        <v>0.58333333333333404</v>
      </c>
      <c r="E38" s="29">
        <v>0.75</v>
      </c>
      <c r="F38" s="20">
        <f t="shared" si="0"/>
        <v>3.9999999999999831</v>
      </c>
      <c r="G38" s="94" t="s">
        <v>90</v>
      </c>
      <c r="H38" s="95"/>
      <c r="I38" s="95"/>
      <c r="J38" s="95"/>
      <c r="K38" s="96"/>
      <c r="L38" s="66">
        <f>IF(F38=0,0,SUM(F38,MAX( $L$12:L37)))</f>
        <v>63.999999999999829</v>
      </c>
      <c r="M38" s="8"/>
      <c r="R38" s="74"/>
    </row>
    <row r="39" spans="2:18" ht="24.95" customHeight="1" thickBot="1">
      <c r="B39" s="34">
        <v>28</v>
      </c>
      <c r="C39" s="15" t="s">
        <v>10</v>
      </c>
      <c r="D39" s="30">
        <v>0.58333333333333404</v>
      </c>
      <c r="E39" s="29">
        <v>0.75</v>
      </c>
      <c r="F39" s="20">
        <f t="shared" si="0"/>
        <v>3.9999999999999831</v>
      </c>
      <c r="G39" s="94" t="s">
        <v>93</v>
      </c>
      <c r="H39" s="95"/>
      <c r="I39" s="95"/>
      <c r="J39" s="95"/>
      <c r="K39" s="96"/>
      <c r="L39" s="66">
        <f>IF(F39=0,0,SUM(F39,MAX( $L$12:L38)))</f>
        <v>67.999999999999815</v>
      </c>
      <c r="M39" s="8"/>
      <c r="R39" s="74"/>
    </row>
    <row r="40" spans="2:18" ht="24.95" customHeight="1" thickBot="1">
      <c r="B40" s="35">
        <v>29</v>
      </c>
      <c r="C40" s="15" t="s">
        <v>11</v>
      </c>
      <c r="D40" s="30">
        <v>0.58333333333333404</v>
      </c>
      <c r="E40" s="29">
        <v>0.75</v>
      </c>
      <c r="F40" s="20">
        <f t="shared" si="0"/>
        <v>3.9999999999999831</v>
      </c>
      <c r="G40" s="94" t="s">
        <v>87</v>
      </c>
      <c r="H40" s="95"/>
      <c r="I40" s="95"/>
      <c r="J40" s="95"/>
      <c r="K40" s="96"/>
      <c r="L40" s="66">
        <f>IF(F40=0,0,SUM(F40,MAX( $L$12:L39)))</f>
        <v>71.999999999999801</v>
      </c>
      <c r="M40" s="8"/>
      <c r="R40" s="74"/>
    </row>
    <row r="41" spans="2:18" ht="24.95" customHeight="1" thickBot="1">
      <c r="B41" s="34">
        <v>30</v>
      </c>
      <c r="C41" s="15" t="s">
        <v>12</v>
      </c>
      <c r="D41" s="28">
        <v>0.33333333333333331</v>
      </c>
      <c r="E41" s="29">
        <v>0.5</v>
      </c>
      <c r="F41" s="20">
        <f t="shared" si="0"/>
        <v>4</v>
      </c>
      <c r="G41" s="94" t="s">
        <v>88</v>
      </c>
      <c r="H41" s="95"/>
      <c r="I41" s="95"/>
      <c r="J41" s="95"/>
      <c r="K41" s="96"/>
      <c r="L41" s="66">
        <f>IF(F41=0,0,SUM(F41,MAX( $L$12:L40)))</f>
        <v>75.999999999999801</v>
      </c>
      <c r="M41" s="8"/>
      <c r="R41" s="74"/>
    </row>
    <row r="42" spans="2:18" ht="24.95" customHeight="1" thickBot="1">
      <c r="B42" s="36">
        <v>31</v>
      </c>
      <c r="C42" s="15" t="s">
        <v>8</v>
      </c>
      <c r="D42" s="31"/>
      <c r="E42" s="32"/>
      <c r="F42" s="21">
        <f t="shared" si="0"/>
        <v>0</v>
      </c>
      <c r="G42" s="156"/>
      <c r="H42" s="157"/>
      <c r="I42" s="157"/>
      <c r="J42" s="157"/>
      <c r="K42" s="158"/>
      <c r="L42" s="66">
        <f>IF(F42=0,0,SUM(F42,MAX( $L$12:L41)))</f>
        <v>0</v>
      </c>
      <c r="M42" s="8"/>
      <c r="R42" s="74"/>
    </row>
    <row r="43" spans="2:18" ht="56.25" customHeight="1" thickBot="1">
      <c r="B43" s="149" t="s">
        <v>9</v>
      </c>
      <c r="C43" s="150"/>
      <c r="D43" s="150"/>
      <c r="E43" s="150"/>
      <c r="F43" s="151"/>
      <c r="G43" s="150"/>
      <c r="H43" s="150"/>
      <c r="I43" s="150"/>
      <c r="J43" s="150"/>
      <c r="K43" s="152"/>
      <c r="L43" s="4" t="s">
        <v>1</v>
      </c>
      <c r="M43" s="83" t="s">
        <v>70</v>
      </c>
    </row>
    <row r="44" spans="2:18" ht="24.95" customHeight="1" thickBot="1">
      <c r="B44" s="153"/>
      <c r="C44" s="154"/>
      <c r="D44" s="154"/>
      <c r="E44" s="154"/>
      <c r="F44" s="154"/>
      <c r="G44" s="154"/>
      <c r="H44" s="154"/>
      <c r="I44" s="154"/>
      <c r="J44" s="154"/>
      <c r="K44" s="155"/>
      <c r="L44" s="90">
        <f>IF(MAX(L12:L42)&gt;90,"ERROR VALOR SUMA",MAX(L12:L42))</f>
        <v>75.999999999999801</v>
      </c>
      <c r="M44" s="91"/>
    </row>
    <row r="45" spans="2:18" ht="39.950000000000003" customHeight="1" thickBot="1">
      <c r="B45" s="37"/>
      <c r="C45" s="38"/>
      <c r="D45" s="39"/>
      <c r="E45" s="40"/>
      <c r="F45" s="9"/>
      <c r="G45" s="10"/>
      <c r="H45" s="7"/>
      <c r="I45" s="41"/>
      <c r="J45" s="42"/>
      <c r="K45" s="10"/>
      <c r="L45" s="92"/>
      <c r="M45" s="93"/>
    </row>
    <row r="46" spans="2:18">
      <c r="B46" s="61" t="s">
        <v>23</v>
      </c>
      <c r="C46" s="62"/>
      <c r="D46" s="43"/>
      <c r="E46" s="44"/>
      <c r="F46" s="106" t="s">
        <v>24</v>
      </c>
      <c r="G46" s="106"/>
      <c r="H46" s="106"/>
      <c r="I46" s="106"/>
      <c r="J46" s="6"/>
      <c r="K46" s="12" t="s">
        <v>25</v>
      </c>
      <c r="L46" s="12"/>
      <c r="M46" s="11"/>
    </row>
    <row r="47" spans="2:18" ht="15.75">
      <c r="B47" s="61" t="s">
        <v>39</v>
      </c>
      <c r="C47" s="62"/>
      <c r="D47" s="43"/>
      <c r="E47" s="45"/>
      <c r="F47" s="106" t="s">
        <v>79</v>
      </c>
      <c r="G47" s="106"/>
      <c r="H47" s="106"/>
      <c r="I47" s="106"/>
      <c r="J47" s="6"/>
      <c r="K47" s="46" t="s">
        <v>0</v>
      </c>
      <c r="L47" s="46"/>
      <c r="M47" s="11" t="s">
        <v>77</v>
      </c>
    </row>
    <row r="48" spans="2:18">
      <c r="B48" s="61" t="s">
        <v>40</v>
      </c>
      <c r="C48" s="63"/>
      <c r="D48" s="47"/>
      <c r="E48" s="48"/>
      <c r="F48" s="105" t="s">
        <v>80</v>
      </c>
      <c r="G48" s="105"/>
      <c r="H48" s="105"/>
      <c r="I48" s="105"/>
      <c r="J48" s="6"/>
      <c r="K48" s="49" t="s">
        <v>26</v>
      </c>
      <c r="L48" s="6"/>
      <c r="M48" s="11">
        <v>1139225166</v>
      </c>
    </row>
    <row r="49" spans="2:21">
      <c r="B49" s="64" t="s">
        <v>41</v>
      </c>
      <c r="C49" s="62"/>
      <c r="D49" s="47"/>
      <c r="E49" s="48"/>
      <c r="F49" s="106" t="s">
        <v>81</v>
      </c>
      <c r="G49" s="106"/>
      <c r="H49" s="106"/>
      <c r="I49" s="106"/>
      <c r="J49" s="6"/>
      <c r="K49" s="65" t="s">
        <v>38</v>
      </c>
      <c r="L49" s="6"/>
      <c r="M49" s="11">
        <v>3123619757</v>
      </c>
    </row>
    <row r="50" spans="2:21">
      <c r="B50" s="22" t="s">
        <v>27</v>
      </c>
      <c r="C50" s="50"/>
      <c r="D50" s="51"/>
      <c r="E50" s="52"/>
      <c r="F50" s="53"/>
      <c r="G50" s="54"/>
      <c r="H50" s="54"/>
      <c r="I50" s="54"/>
      <c r="K50" s="49"/>
      <c r="L50" s="49"/>
      <c r="M50" s="11"/>
    </row>
    <row r="51" spans="2:21" ht="15.75">
      <c r="B51" s="22" t="s">
        <v>36</v>
      </c>
      <c r="C51" s="50"/>
      <c r="D51" s="55"/>
      <c r="E51" s="44"/>
      <c r="F51" s="56"/>
      <c r="G51" s="57"/>
      <c r="H51" s="57"/>
      <c r="I51" s="57"/>
      <c r="J51" s="57"/>
      <c r="K51" s="57"/>
      <c r="L51" s="57"/>
      <c r="M51" s="11"/>
    </row>
    <row r="52" spans="2:21" ht="15.75">
      <c r="B52" s="22" t="s">
        <v>37</v>
      </c>
      <c r="C52" s="50"/>
      <c r="D52" s="58"/>
      <c r="E52" s="59"/>
      <c r="F52" s="60"/>
      <c r="G52" s="45"/>
      <c r="H52" s="45"/>
      <c r="I52" s="45"/>
      <c r="J52" s="45"/>
      <c r="K52" s="45"/>
      <c r="L52" s="45"/>
      <c r="M52" s="11"/>
    </row>
    <row r="53" spans="2:21" ht="9.75" customHeight="1" thickBot="1">
      <c r="B53" s="23"/>
      <c r="C53" s="24"/>
      <c r="D53" s="25"/>
      <c r="E53" s="13"/>
      <c r="F53" s="13"/>
      <c r="G53" s="1"/>
      <c r="H53" s="1"/>
      <c r="I53" s="1"/>
      <c r="J53" s="1"/>
      <c r="K53" s="1"/>
      <c r="L53" s="1"/>
      <c r="M53" s="14"/>
    </row>
    <row r="54" spans="2:21" s="6" customFormat="1">
      <c r="B54" s="53"/>
      <c r="D54" s="53"/>
      <c r="E54" s="53"/>
      <c r="F54" s="53"/>
      <c r="N54" s="71"/>
      <c r="O54" s="71"/>
      <c r="P54" s="71"/>
      <c r="Q54" s="71"/>
      <c r="R54" s="71"/>
      <c r="S54" s="71"/>
      <c r="T54" s="71"/>
      <c r="U54" s="71"/>
    </row>
    <row r="55" spans="2:21" s="6" customFormat="1">
      <c r="B55" s="53"/>
      <c r="D55" s="53"/>
      <c r="E55" s="53"/>
      <c r="F55" s="53"/>
      <c r="N55" s="71"/>
      <c r="O55" s="71"/>
      <c r="P55" s="71"/>
      <c r="Q55" s="71"/>
      <c r="R55" s="71"/>
      <c r="S55" s="71"/>
      <c r="T55" s="71"/>
      <c r="U55" s="71"/>
    </row>
    <row r="56" spans="2:21" s="6" customFormat="1">
      <c r="B56" s="53"/>
      <c r="D56" s="53"/>
      <c r="E56" s="53"/>
      <c r="F56" s="53"/>
      <c r="N56" s="71"/>
      <c r="O56" s="71"/>
      <c r="P56" s="71"/>
      <c r="Q56" s="71"/>
      <c r="R56" s="71"/>
      <c r="S56" s="71"/>
      <c r="T56" s="71"/>
      <c r="U56" s="71"/>
    </row>
    <row r="57" spans="2:21" s="6" customFormat="1">
      <c r="B57" s="53"/>
      <c r="D57" s="53"/>
      <c r="E57" s="53"/>
      <c r="F57" s="53"/>
      <c r="N57" s="71"/>
      <c r="O57" s="71"/>
      <c r="P57" s="71"/>
      <c r="Q57" s="71"/>
      <c r="R57" s="71"/>
      <c r="S57" s="71"/>
      <c r="T57" s="71"/>
      <c r="U57" s="71"/>
    </row>
    <row r="58" spans="2:21" s="6" customFormat="1">
      <c r="B58" s="53"/>
      <c r="D58" s="53"/>
      <c r="E58" s="53"/>
      <c r="F58" s="53"/>
      <c r="N58" s="71"/>
      <c r="O58" s="71"/>
      <c r="P58" s="71"/>
      <c r="Q58" s="71"/>
      <c r="R58" s="71"/>
      <c r="S58" s="71"/>
      <c r="T58" s="71"/>
      <c r="U58" s="71"/>
    </row>
    <row r="59" spans="2:21" s="6" customFormat="1">
      <c r="B59" s="53"/>
      <c r="D59" s="53"/>
      <c r="E59" s="53"/>
      <c r="F59" s="53"/>
      <c r="N59" s="71"/>
      <c r="O59" s="71"/>
      <c r="P59" s="71"/>
      <c r="Q59" s="71"/>
      <c r="R59" s="71"/>
      <c r="S59" s="71"/>
      <c r="T59" s="71"/>
      <c r="U59" s="71"/>
    </row>
    <row r="60" spans="2:21" s="6" customFormat="1">
      <c r="B60" s="53"/>
      <c r="D60" s="53"/>
      <c r="E60" s="53"/>
      <c r="F60" s="53"/>
      <c r="N60" s="71"/>
      <c r="O60" s="71"/>
      <c r="P60" s="71"/>
      <c r="Q60" s="71"/>
      <c r="R60" s="71"/>
      <c r="S60" s="71"/>
      <c r="T60" s="71"/>
      <c r="U60" s="71"/>
    </row>
    <row r="61" spans="2:21" s="6" customFormat="1">
      <c r="B61" s="53"/>
      <c r="D61" s="53"/>
      <c r="E61" s="53"/>
      <c r="F61" s="53"/>
      <c r="N61" s="71"/>
      <c r="O61" s="71"/>
      <c r="P61" s="71"/>
      <c r="Q61" s="71"/>
      <c r="R61" s="71"/>
      <c r="S61" s="71"/>
      <c r="T61" s="71"/>
      <c r="U61" s="71"/>
    </row>
    <row r="62" spans="2:21" s="6" customFormat="1">
      <c r="B62" s="53"/>
      <c r="D62" s="53"/>
      <c r="E62" s="53"/>
      <c r="F62" s="53"/>
      <c r="N62" s="71"/>
      <c r="O62" s="71"/>
      <c r="P62" s="71"/>
      <c r="Q62" s="71"/>
      <c r="R62" s="71"/>
      <c r="S62" s="71"/>
      <c r="T62" s="71"/>
      <c r="U62" s="71"/>
    </row>
    <row r="63" spans="2:21" s="6" customFormat="1">
      <c r="B63" s="53"/>
      <c r="D63" s="53"/>
      <c r="E63" s="53"/>
      <c r="F63" s="53"/>
      <c r="N63" s="71"/>
      <c r="O63" s="71"/>
      <c r="P63" s="71"/>
      <c r="Q63" s="71"/>
      <c r="R63" s="71"/>
      <c r="S63" s="71"/>
      <c r="T63" s="71"/>
      <c r="U63" s="71"/>
    </row>
    <row r="64" spans="2:21" s="6" customFormat="1">
      <c r="B64" s="53"/>
      <c r="D64" s="53"/>
      <c r="E64" s="53"/>
      <c r="F64" s="53"/>
      <c r="N64" s="71"/>
      <c r="O64" s="71"/>
      <c r="P64" s="71"/>
      <c r="Q64" s="71"/>
      <c r="R64" s="71"/>
      <c r="S64" s="71"/>
      <c r="T64" s="71"/>
      <c r="U64" s="71"/>
    </row>
    <row r="65" spans="2:21" s="6" customFormat="1">
      <c r="B65" s="53"/>
      <c r="D65" s="53"/>
      <c r="E65" s="53"/>
      <c r="F65" s="53"/>
      <c r="N65" s="71"/>
      <c r="O65" s="71"/>
      <c r="P65" s="71"/>
      <c r="Q65" s="71"/>
      <c r="R65" s="71"/>
      <c r="S65" s="71"/>
      <c r="T65" s="71"/>
      <c r="U65" s="71"/>
    </row>
    <row r="66" spans="2:21" s="6" customFormat="1">
      <c r="B66" s="53"/>
      <c r="D66" s="53"/>
      <c r="E66" s="53"/>
      <c r="F66" s="53"/>
      <c r="N66" s="71"/>
      <c r="O66" s="71"/>
      <c r="P66" s="71"/>
      <c r="Q66" s="71"/>
      <c r="R66" s="71"/>
      <c r="S66" s="71"/>
      <c r="T66" s="71"/>
      <c r="U66" s="71"/>
    </row>
    <row r="67" spans="2:21" s="6" customFormat="1">
      <c r="B67" s="53"/>
      <c r="D67" s="53"/>
      <c r="E67" s="53"/>
      <c r="F67" s="53"/>
      <c r="N67" s="71"/>
      <c r="O67" s="71"/>
      <c r="P67" s="71"/>
      <c r="Q67" s="71"/>
      <c r="R67" s="71"/>
      <c r="S67" s="71"/>
      <c r="T67" s="71"/>
      <c r="U67" s="71"/>
    </row>
    <row r="68" spans="2:21" s="6" customFormat="1">
      <c r="B68" s="53"/>
      <c r="D68" s="53"/>
      <c r="E68" s="53"/>
      <c r="F68" s="53"/>
      <c r="N68" s="71"/>
      <c r="O68" s="71"/>
      <c r="P68" s="71"/>
      <c r="Q68" s="71"/>
      <c r="R68" s="71"/>
      <c r="S68" s="71"/>
      <c r="T68" s="71"/>
      <c r="U68" s="71"/>
    </row>
    <row r="69" spans="2:21" s="6" customFormat="1">
      <c r="B69" s="53"/>
      <c r="D69" s="53"/>
      <c r="E69" s="53"/>
      <c r="F69" s="53"/>
      <c r="N69" s="71"/>
      <c r="O69" s="71"/>
      <c r="P69" s="71"/>
      <c r="Q69" s="71"/>
      <c r="R69" s="71"/>
      <c r="S69" s="71"/>
      <c r="T69" s="71"/>
      <c r="U69" s="71"/>
    </row>
    <row r="70" spans="2:21" s="6" customFormat="1">
      <c r="B70" s="53"/>
      <c r="D70" s="53"/>
      <c r="E70" s="53"/>
      <c r="F70" s="53"/>
      <c r="N70" s="71"/>
      <c r="O70" s="71"/>
      <c r="P70" s="71"/>
      <c r="Q70" s="71"/>
      <c r="R70" s="71"/>
      <c r="S70" s="71"/>
      <c r="T70" s="71"/>
      <c r="U70" s="71"/>
    </row>
    <row r="71" spans="2:21" s="6" customFormat="1">
      <c r="B71" s="53"/>
      <c r="D71" s="53"/>
      <c r="E71" s="53"/>
      <c r="F71" s="53"/>
      <c r="N71" s="71"/>
      <c r="O71" s="71"/>
      <c r="P71" s="71"/>
      <c r="Q71" s="71"/>
      <c r="R71" s="71"/>
      <c r="S71" s="71"/>
      <c r="T71" s="71"/>
      <c r="U71" s="71"/>
    </row>
    <row r="72" spans="2:21" s="6" customFormat="1">
      <c r="B72" s="53"/>
      <c r="D72" s="53"/>
      <c r="E72" s="53"/>
      <c r="F72" s="53"/>
      <c r="N72" s="71"/>
      <c r="O72" s="71"/>
      <c r="P72" s="71"/>
      <c r="Q72" s="71"/>
      <c r="R72" s="71"/>
      <c r="S72" s="71"/>
      <c r="T72" s="71"/>
      <c r="U72" s="71"/>
    </row>
    <row r="73" spans="2:21" s="6" customFormat="1">
      <c r="B73" s="53"/>
      <c r="D73" s="53"/>
      <c r="E73" s="53"/>
      <c r="F73" s="53"/>
      <c r="N73" s="71"/>
      <c r="O73" s="71"/>
      <c r="P73" s="71"/>
      <c r="Q73" s="71"/>
      <c r="R73" s="71"/>
      <c r="S73" s="71"/>
      <c r="T73" s="71"/>
      <c r="U73" s="71"/>
    </row>
  </sheetData>
  <sheetProtection algorithmName="SHA-512" hashValue="3FN70m06ViZNk+MUwPzt79RSGEhBHOIf9tBRu+QYXmGgpckCLemkjMY96CWyM/SjCqB/tocqkZvwRIwPPPEpgw==" saltValue="Xl2ulQppd0i/D9ZNswRaWw==" spinCount="100000" sheet="1" objects="1" scenarios="1" selectLockedCells="1"/>
  <protectedRanges>
    <protectedRange sqref="E51 E46 G45 B45:C45 E43:F45 I12:K42 I45 B12:F42 G44:L44 K45" name="Rango2"/>
  </protectedRanges>
  <dataConsolidate/>
  <mergeCells count="61">
    <mergeCell ref="G36:K36"/>
    <mergeCell ref="G37:K37"/>
    <mergeCell ref="G38:K38"/>
    <mergeCell ref="B43:K44"/>
    <mergeCell ref="G39:K39"/>
    <mergeCell ref="G40:K40"/>
    <mergeCell ref="G41:K41"/>
    <mergeCell ref="G42:K42"/>
    <mergeCell ref="G10:K11"/>
    <mergeCell ref="C10:F10"/>
    <mergeCell ref="G19:K19"/>
    <mergeCell ref="G20:K20"/>
    <mergeCell ref="G18:K18"/>
    <mergeCell ref="B2:D4"/>
    <mergeCell ref="M10:M11"/>
    <mergeCell ref="E2:L2"/>
    <mergeCell ref="E3:L3"/>
    <mergeCell ref="E4:L4"/>
    <mergeCell ref="B5:D5"/>
    <mergeCell ref="L10:L11"/>
    <mergeCell ref="B6:D6"/>
    <mergeCell ref="J6:L6"/>
    <mergeCell ref="E6:I6"/>
    <mergeCell ref="J9:K9"/>
    <mergeCell ref="B10:B11"/>
    <mergeCell ref="B7:D7"/>
    <mergeCell ref="E7:I7"/>
    <mergeCell ref="E5:M5"/>
    <mergeCell ref="E8:I8"/>
    <mergeCell ref="F48:I48"/>
    <mergeCell ref="F47:I47"/>
    <mergeCell ref="F49:I49"/>
    <mergeCell ref="F46:I46"/>
    <mergeCell ref="G21:K21"/>
    <mergeCell ref="G22:K22"/>
    <mergeCell ref="G23:K23"/>
    <mergeCell ref="G24:K24"/>
    <mergeCell ref="G25:K25"/>
    <mergeCell ref="G26:K26"/>
    <mergeCell ref="G27:K27"/>
    <mergeCell ref="G28:K28"/>
    <mergeCell ref="G32:K32"/>
    <mergeCell ref="G33:K33"/>
    <mergeCell ref="G34:K34"/>
    <mergeCell ref="G35:K35"/>
    <mergeCell ref="B8:D8"/>
    <mergeCell ref="B9:D9"/>
    <mergeCell ref="L44:M45"/>
    <mergeCell ref="J7:L7"/>
    <mergeCell ref="J8:L8"/>
    <mergeCell ref="G15:K15"/>
    <mergeCell ref="G16:K16"/>
    <mergeCell ref="G17:K17"/>
    <mergeCell ref="G12:K12"/>
    <mergeCell ref="G13:K13"/>
    <mergeCell ref="G14:K14"/>
    <mergeCell ref="E9:F9"/>
    <mergeCell ref="G9:I9"/>
    <mergeCell ref="G29:K29"/>
    <mergeCell ref="G30:K30"/>
    <mergeCell ref="G31:K31"/>
  </mergeCells>
  <phoneticPr fontId="20" type="noConversion"/>
  <conditionalFormatting sqref="F12:F42">
    <cfRule type="cellIs" dxfId="1" priority="1" operator="greaterThan">
      <formula>1</formula>
    </cfRule>
  </conditionalFormatting>
  <conditionalFormatting sqref="L12:L42">
    <cfRule type="cellIs" dxfId="0" priority="2" operator="greaterThan">
      <formula>1</formula>
    </cfRule>
  </conditionalFormatting>
  <dataValidations count="11">
    <dataValidation type="list" allowBlank="1" showInputMessage="1" showErrorMessage="1" sqref="WVE983010:WVF983020 WVE13:WVF43 WLI13:WLJ43 WBM13:WBN43 VRQ13:VRR43 VHU13:VHV43 UXY13:UXZ43 UOC13:UOD43 UEG13:UEH43 TUK13:TUL43 TKO13:TKP43 TAS13:TAT43 SQW13:SQX43 SHA13:SHB43 RXE13:RXF43 RNI13:RNJ43 RDM13:RDN43 QTQ13:QTR43 QJU13:QJV43 PZY13:PZZ43 PQC13:PQD43 PGG13:PGH43 OWK13:OWL43 OMO13:OMP43 OCS13:OCT43 NSW13:NSX43 NJA13:NJB43 MZE13:MZF43 MPI13:MPJ43 MFM13:MFN43 LVQ13:LVR43 LLU13:LLV43 LBY13:LBZ43 KSC13:KSD43 KIG13:KIH43 JYK13:JYL43 JOO13:JOP43 JES13:JET43 IUW13:IUX43 ILA13:ILB43 IBE13:IBF43 HRI13:HRJ43 HHM13:HHN43 GXQ13:GXR43 GNU13:GNV43 GDY13:GDZ43 FUC13:FUD43 FKG13:FKH43 FAK13:FAL43 EQO13:EQP43 EGS13:EGT43 DWW13:DWX43 DNA13:DNB43 DDE13:DDF43 CTI13:CTJ43 CJM13:CJN43 BZQ13:BZR43 BPU13:BPV43 BFY13:BFZ43 AWC13:AWD43 AMG13:AMH43 ACK13:ACL43 SO13:SP43 IS13:IT43 WLI983010:WLJ983020 WBM983010:WBN983020 VRQ983010:VRR983020 VHU983010:VHV983020 UXY983010:UXZ983020 UOC983010:UOD983020 UEG983010:UEH983020 TUK983010:TUL983020 TKO983010:TKP983020 TAS983010:TAT983020 SQW983010:SQX983020 SHA983010:SHB983020 RXE983010:RXF983020 RNI983010:RNJ983020 RDM983010:RDN983020 QTQ983010:QTR983020 QJU983010:QJV983020 PZY983010:PZZ983020 PQC983010:PQD983020 PGG983010:PGH983020 OWK983010:OWL983020 OMO983010:OMP983020 OCS983010:OCT983020 NSW983010:NSX983020 NJA983010:NJB983020 MZE983010:MZF983020 MPI983010:MPJ983020 MFM983010:MFN983020 LVQ983010:LVR983020 LLU983010:LLV983020 LBY983010:LBZ983020 KSC983010:KSD983020 KIG983010:KIH983020 JYK983010:JYL983020 JOO983010:JOP983020 JES983010:JET983020 IUW983010:IUX983020 ILA983010:ILB983020 IBE983010:IBF983020 HRI983010:HRJ983020 HHM983010:HHN983020 GXQ983010:GXR983020 GNU983010:GNV983020 GDY983010:GDZ983020 FUC983010:FUD983020 FKG983010:FKH983020 FAK983010:FAL983020 EQO983010:EQP983020 EGS983010:EGT983020 DWW983010:DWX983020 DNA983010:DNB983020 DDE983010:DDF983020 CTI983010:CTJ983020 CJM983010:CJN983020 BZQ983010:BZR983020 BPU983010:BPV983020 BFY983010:BFZ983020 AWC983010:AWD983020 AMG983010:AMH983020 ACK983010:ACL983020 SO983010:SP983020 IS983010:IT983020 WVE917474:WVF917484 WLI917474:WLJ917484 WBM917474:WBN917484 VRQ917474:VRR917484 VHU917474:VHV917484 UXY917474:UXZ917484 UOC917474:UOD917484 UEG917474:UEH917484 TUK917474:TUL917484 TKO917474:TKP917484 TAS917474:TAT917484 SQW917474:SQX917484 SHA917474:SHB917484 RXE917474:RXF917484 RNI917474:RNJ917484 RDM917474:RDN917484 QTQ917474:QTR917484 QJU917474:QJV917484 PZY917474:PZZ917484 PQC917474:PQD917484 PGG917474:PGH917484 OWK917474:OWL917484 OMO917474:OMP917484 OCS917474:OCT917484 NSW917474:NSX917484 NJA917474:NJB917484 MZE917474:MZF917484 MPI917474:MPJ917484 MFM917474:MFN917484 LVQ917474:LVR917484 LLU917474:LLV917484 LBY917474:LBZ917484 KSC917474:KSD917484 KIG917474:KIH917484 JYK917474:JYL917484 JOO917474:JOP917484 JES917474:JET917484 IUW917474:IUX917484 ILA917474:ILB917484 IBE917474:IBF917484 HRI917474:HRJ917484 HHM917474:HHN917484 GXQ917474:GXR917484 GNU917474:GNV917484 GDY917474:GDZ917484 FUC917474:FUD917484 FKG917474:FKH917484 FAK917474:FAL917484 EQO917474:EQP917484 EGS917474:EGT917484 DWW917474:DWX917484 DNA917474:DNB917484 DDE917474:DDF917484 CTI917474:CTJ917484 CJM917474:CJN917484 BZQ917474:BZR917484 BPU917474:BPV917484 BFY917474:BFZ917484 AWC917474:AWD917484 AMG917474:AMH917484 ACK917474:ACL917484 SO917474:SP917484 IS917474:IT917484 WVE851938:WVF851948 WLI851938:WLJ851948 WBM851938:WBN851948 VRQ851938:VRR851948 VHU851938:VHV851948 UXY851938:UXZ851948 UOC851938:UOD851948 UEG851938:UEH851948 TUK851938:TUL851948 TKO851938:TKP851948 TAS851938:TAT851948 SQW851938:SQX851948 SHA851938:SHB851948 RXE851938:RXF851948 RNI851938:RNJ851948 RDM851938:RDN851948 QTQ851938:QTR851948 QJU851938:QJV851948 PZY851938:PZZ851948 PQC851938:PQD851948 PGG851938:PGH851948 OWK851938:OWL851948 OMO851938:OMP851948 OCS851938:OCT851948 NSW851938:NSX851948 NJA851938:NJB851948 MZE851938:MZF851948 MPI851938:MPJ851948 MFM851938:MFN851948 LVQ851938:LVR851948 LLU851938:LLV851948 LBY851938:LBZ851948 KSC851938:KSD851948 KIG851938:KIH851948 JYK851938:JYL851948 JOO851938:JOP851948 JES851938:JET851948 IUW851938:IUX851948 ILA851938:ILB851948 IBE851938:IBF851948 HRI851938:HRJ851948 HHM851938:HHN851948 GXQ851938:GXR851948 GNU851938:GNV851948 GDY851938:GDZ851948 FUC851938:FUD851948 FKG851938:FKH851948 FAK851938:FAL851948 EQO851938:EQP851948 EGS851938:EGT851948 DWW851938:DWX851948 DNA851938:DNB851948 DDE851938:DDF851948 CTI851938:CTJ851948 CJM851938:CJN851948 BZQ851938:BZR851948 BPU851938:BPV851948 BFY851938:BFZ851948 AWC851938:AWD851948 AMG851938:AMH851948 ACK851938:ACL851948 SO851938:SP851948 IS851938:IT851948 WVE786402:WVF786412 WLI786402:WLJ786412 WBM786402:WBN786412 VRQ786402:VRR786412 VHU786402:VHV786412 UXY786402:UXZ786412 UOC786402:UOD786412 UEG786402:UEH786412 TUK786402:TUL786412 TKO786402:TKP786412 TAS786402:TAT786412 SQW786402:SQX786412 SHA786402:SHB786412 RXE786402:RXF786412 RNI786402:RNJ786412 RDM786402:RDN786412 QTQ786402:QTR786412 QJU786402:QJV786412 PZY786402:PZZ786412 PQC786402:PQD786412 PGG786402:PGH786412 OWK786402:OWL786412 OMO786402:OMP786412 OCS786402:OCT786412 NSW786402:NSX786412 NJA786402:NJB786412 MZE786402:MZF786412 MPI786402:MPJ786412 MFM786402:MFN786412 LVQ786402:LVR786412 LLU786402:LLV786412 LBY786402:LBZ786412 KSC786402:KSD786412 KIG786402:KIH786412 JYK786402:JYL786412 JOO786402:JOP786412 JES786402:JET786412 IUW786402:IUX786412 ILA786402:ILB786412 IBE786402:IBF786412 HRI786402:HRJ786412 HHM786402:HHN786412 GXQ786402:GXR786412 GNU786402:GNV786412 GDY786402:GDZ786412 FUC786402:FUD786412 FKG786402:FKH786412 FAK786402:FAL786412 EQO786402:EQP786412 EGS786402:EGT786412 DWW786402:DWX786412 DNA786402:DNB786412 DDE786402:DDF786412 CTI786402:CTJ786412 CJM786402:CJN786412 BZQ786402:BZR786412 BPU786402:BPV786412 BFY786402:BFZ786412 AWC786402:AWD786412 AMG786402:AMH786412 ACK786402:ACL786412 SO786402:SP786412 IS786402:IT786412 WVE720866:WVF720876 WLI720866:WLJ720876 WBM720866:WBN720876 VRQ720866:VRR720876 VHU720866:VHV720876 UXY720866:UXZ720876 UOC720866:UOD720876 UEG720866:UEH720876 TUK720866:TUL720876 TKO720866:TKP720876 TAS720866:TAT720876 SQW720866:SQX720876 SHA720866:SHB720876 RXE720866:RXF720876 RNI720866:RNJ720876 RDM720866:RDN720876 QTQ720866:QTR720876 QJU720866:QJV720876 PZY720866:PZZ720876 PQC720866:PQD720876 PGG720866:PGH720876 OWK720866:OWL720876 OMO720866:OMP720876 OCS720866:OCT720876 NSW720866:NSX720876 NJA720866:NJB720876 MZE720866:MZF720876 MPI720866:MPJ720876 MFM720866:MFN720876 LVQ720866:LVR720876 LLU720866:LLV720876 LBY720866:LBZ720876 KSC720866:KSD720876 KIG720866:KIH720876 JYK720866:JYL720876 JOO720866:JOP720876 JES720866:JET720876 IUW720866:IUX720876 ILA720866:ILB720876 IBE720866:IBF720876 HRI720866:HRJ720876 HHM720866:HHN720876 GXQ720866:GXR720876 GNU720866:GNV720876 GDY720866:GDZ720876 FUC720866:FUD720876 FKG720866:FKH720876 FAK720866:FAL720876 EQO720866:EQP720876 EGS720866:EGT720876 DWW720866:DWX720876 DNA720866:DNB720876 DDE720866:DDF720876 CTI720866:CTJ720876 CJM720866:CJN720876 BZQ720866:BZR720876 BPU720866:BPV720876 BFY720866:BFZ720876 AWC720866:AWD720876 AMG720866:AMH720876 ACK720866:ACL720876 SO720866:SP720876 IS720866:IT720876 WVE655330:WVF655340 WLI655330:WLJ655340 WBM655330:WBN655340 VRQ655330:VRR655340 VHU655330:VHV655340 UXY655330:UXZ655340 UOC655330:UOD655340 UEG655330:UEH655340 TUK655330:TUL655340 TKO655330:TKP655340 TAS655330:TAT655340 SQW655330:SQX655340 SHA655330:SHB655340 RXE655330:RXF655340 RNI655330:RNJ655340 RDM655330:RDN655340 QTQ655330:QTR655340 QJU655330:QJV655340 PZY655330:PZZ655340 PQC655330:PQD655340 PGG655330:PGH655340 OWK655330:OWL655340 OMO655330:OMP655340 OCS655330:OCT655340 NSW655330:NSX655340 NJA655330:NJB655340 MZE655330:MZF655340 MPI655330:MPJ655340 MFM655330:MFN655340 LVQ655330:LVR655340 LLU655330:LLV655340 LBY655330:LBZ655340 KSC655330:KSD655340 KIG655330:KIH655340 JYK655330:JYL655340 JOO655330:JOP655340 JES655330:JET655340 IUW655330:IUX655340 ILA655330:ILB655340 IBE655330:IBF655340 HRI655330:HRJ655340 HHM655330:HHN655340 GXQ655330:GXR655340 GNU655330:GNV655340 GDY655330:GDZ655340 FUC655330:FUD655340 FKG655330:FKH655340 FAK655330:FAL655340 EQO655330:EQP655340 EGS655330:EGT655340 DWW655330:DWX655340 DNA655330:DNB655340 DDE655330:DDF655340 CTI655330:CTJ655340 CJM655330:CJN655340 BZQ655330:BZR655340 BPU655330:BPV655340 BFY655330:BFZ655340 AWC655330:AWD655340 AMG655330:AMH655340 ACK655330:ACL655340 SO655330:SP655340 IS655330:IT655340 WVE589794:WVF589804 WLI589794:WLJ589804 WBM589794:WBN589804 VRQ589794:VRR589804 VHU589794:VHV589804 UXY589794:UXZ589804 UOC589794:UOD589804 UEG589794:UEH589804 TUK589794:TUL589804 TKO589794:TKP589804 TAS589794:TAT589804 SQW589794:SQX589804 SHA589794:SHB589804 RXE589794:RXF589804 RNI589794:RNJ589804 RDM589794:RDN589804 QTQ589794:QTR589804 QJU589794:QJV589804 PZY589794:PZZ589804 PQC589794:PQD589804 PGG589794:PGH589804 OWK589794:OWL589804 OMO589794:OMP589804 OCS589794:OCT589804 NSW589794:NSX589804 NJA589794:NJB589804 MZE589794:MZF589804 MPI589794:MPJ589804 MFM589794:MFN589804 LVQ589794:LVR589804 LLU589794:LLV589804 LBY589794:LBZ589804 KSC589794:KSD589804 KIG589794:KIH589804 JYK589794:JYL589804 JOO589794:JOP589804 JES589794:JET589804 IUW589794:IUX589804 ILA589794:ILB589804 IBE589794:IBF589804 HRI589794:HRJ589804 HHM589794:HHN589804 GXQ589794:GXR589804 GNU589794:GNV589804 GDY589794:GDZ589804 FUC589794:FUD589804 FKG589794:FKH589804 FAK589794:FAL589804 EQO589794:EQP589804 EGS589794:EGT589804 DWW589794:DWX589804 DNA589794:DNB589804 DDE589794:DDF589804 CTI589794:CTJ589804 CJM589794:CJN589804 BZQ589794:BZR589804 BPU589794:BPV589804 BFY589794:BFZ589804 AWC589794:AWD589804 AMG589794:AMH589804 ACK589794:ACL589804 SO589794:SP589804 IS589794:IT589804 WVE524258:WVF524268 WLI524258:WLJ524268 WBM524258:WBN524268 VRQ524258:VRR524268 VHU524258:VHV524268 UXY524258:UXZ524268 UOC524258:UOD524268 UEG524258:UEH524268 TUK524258:TUL524268 TKO524258:TKP524268 TAS524258:TAT524268 SQW524258:SQX524268 SHA524258:SHB524268 RXE524258:RXF524268 RNI524258:RNJ524268 RDM524258:RDN524268 QTQ524258:QTR524268 QJU524258:QJV524268 PZY524258:PZZ524268 PQC524258:PQD524268 PGG524258:PGH524268 OWK524258:OWL524268 OMO524258:OMP524268 OCS524258:OCT524268 NSW524258:NSX524268 NJA524258:NJB524268 MZE524258:MZF524268 MPI524258:MPJ524268 MFM524258:MFN524268 LVQ524258:LVR524268 LLU524258:LLV524268 LBY524258:LBZ524268 KSC524258:KSD524268 KIG524258:KIH524268 JYK524258:JYL524268 JOO524258:JOP524268 JES524258:JET524268 IUW524258:IUX524268 ILA524258:ILB524268 IBE524258:IBF524268 HRI524258:HRJ524268 HHM524258:HHN524268 GXQ524258:GXR524268 GNU524258:GNV524268 GDY524258:GDZ524268 FUC524258:FUD524268 FKG524258:FKH524268 FAK524258:FAL524268 EQO524258:EQP524268 EGS524258:EGT524268 DWW524258:DWX524268 DNA524258:DNB524268 DDE524258:DDF524268 CTI524258:CTJ524268 CJM524258:CJN524268 BZQ524258:BZR524268 BPU524258:BPV524268 BFY524258:BFZ524268 AWC524258:AWD524268 AMG524258:AMH524268 ACK524258:ACL524268 SO524258:SP524268 IS524258:IT524268 WVE458722:WVF458732 WLI458722:WLJ458732 WBM458722:WBN458732 VRQ458722:VRR458732 VHU458722:VHV458732 UXY458722:UXZ458732 UOC458722:UOD458732 UEG458722:UEH458732 TUK458722:TUL458732 TKO458722:TKP458732 TAS458722:TAT458732 SQW458722:SQX458732 SHA458722:SHB458732 RXE458722:RXF458732 RNI458722:RNJ458732 RDM458722:RDN458732 QTQ458722:QTR458732 QJU458722:QJV458732 PZY458722:PZZ458732 PQC458722:PQD458732 PGG458722:PGH458732 OWK458722:OWL458732 OMO458722:OMP458732 OCS458722:OCT458732 NSW458722:NSX458732 NJA458722:NJB458732 MZE458722:MZF458732 MPI458722:MPJ458732 MFM458722:MFN458732 LVQ458722:LVR458732 LLU458722:LLV458732 LBY458722:LBZ458732 KSC458722:KSD458732 KIG458722:KIH458732 JYK458722:JYL458732 JOO458722:JOP458732 JES458722:JET458732 IUW458722:IUX458732 ILA458722:ILB458732 IBE458722:IBF458732 HRI458722:HRJ458732 HHM458722:HHN458732 GXQ458722:GXR458732 GNU458722:GNV458732 GDY458722:GDZ458732 FUC458722:FUD458732 FKG458722:FKH458732 FAK458722:FAL458732 EQO458722:EQP458732 EGS458722:EGT458732 DWW458722:DWX458732 DNA458722:DNB458732 DDE458722:DDF458732 CTI458722:CTJ458732 CJM458722:CJN458732 BZQ458722:BZR458732 BPU458722:BPV458732 BFY458722:BFZ458732 AWC458722:AWD458732 AMG458722:AMH458732 ACK458722:ACL458732 SO458722:SP458732 IS458722:IT458732 WVE393186:WVF393196 WLI393186:WLJ393196 WBM393186:WBN393196 VRQ393186:VRR393196 VHU393186:VHV393196 UXY393186:UXZ393196 UOC393186:UOD393196 UEG393186:UEH393196 TUK393186:TUL393196 TKO393186:TKP393196 TAS393186:TAT393196 SQW393186:SQX393196 SHA393186:SHB393196 RXE393186:RXF393196 RNI393186:RNJ393196 RDM393186:RDN393196 QTQ393186:QTR393196 QJU393186:QJV393196 PZY393186:PZZ393196 PQC393186:PQD393196 PGG393186:PGH393196 OWK393186:OWL393196 OMO393186:OMP393196 OCS393186:OCT393196 NSW393186:NSX393196 NJA393186:NJB393196 MZE393186:MZF393196 MPI393186:MPJ393196 MFM393186:MFN393196 LVQ393186:LVR393196 LLU393186:LLV393196 LBY393186:LBZ393196 KSC393186:KSD393196 KIG393186:KIH393196 JYK393186:JYL393196 JOO393186:JOP393196 JES393186:JET393196 IUW393186:IUX393196 ILA393186:ILB393196 IBE393186:IBF393196 HRI393186:HRJ393196 HHM393186:HHN393196 GXQ393186:GXR393196 GNU393186:GNV393196 GDY393186:GDZ393196 FUC393186:FUD393196 FKG393186:FKH393196 FAK393186:FAL393196 EQO393186:EQP393196 EGS393186:EGT393196 DWW393186:DWX393196 DNA393186:DNB393196 DDE393186:DDF393196 CTI393186:CTJ393196 CJM393186:CJN393196 BZQ393186:BZR393196 BPU393186:BPV393196 BFY393186:BFZ393196 AWC393186:AWD393196 AMG393186:AMH393196 ACK393186:ACL393196 SO393186:SP393196 IS393186:IT393196 WVE327650:WVF327660 WLI327650:WLJ327660 WBM327650:WBN327660 VRQ327650:VRR327660 VHU327650:VHV327660 UXY327650:UXZ327660 UOC327650:UOD327660 UEG327650:UEH327660 TUK327650:TUL327660 TKO327650:TKP327660 TAS327650:TAT327660 SQW327650:SQX327660 SHA327650:SHB327660 RXE327650:RXF327660 RNI327650:RNJ327660 RDM327650:RDN327660 QTQ327650:QTR327660 QJU327650:QJV327660 PZY327650:PZZ327660 PQC327650:PQD327660 PGG327650:PGH327660 OWK327650:OWL327660 OMO327650:OMP327660 OCS327650:OCT327660 NSW327650:NSX327660 NJA327650:NJB327660 MZE327650:MZF327660 MPI327650:MPJ327660 MFM327650:MFN327660 LVQ327650:LVR327660 LLU327650:LLV327660 LBY327650:LBZ327660 KSC327650:KSD327660 KIG327650:KIH327660 JYK327650:JYL327660 JOO327650:JOP327660 JES327650:JET327660 IUW327650:IUX327660 ILA327650:ILB327660 IBE327650:IBF327660 HRI327650:HRJ327660 HHM327650:HHN327660 GXQ327650:GXR327660 GNU327650:GNV327660 GDY327650:GDZ327660 FUC327650:FUD327660 FKG327650:FKH327660 FAK327650:FAL327660 EQO327650:EQP327660 EGS327650:EGT327660 DWW327650:DWX327660 DNA327650:DNB327660 DDE327650:DDF327660 CTI327650:CTJ327660 CJM327650:CJN327660 BZQ327650:BZR327660 BPU327650:BPV327660 BFY327650:BFZ327660 AWC327650:AWD327660 AMG327650:AMH327660 ACK327650:ACL327660 SO327650:SP327660 IS327650:IT327660 WVE262114:WVF262124 WLI262114:WLJ262124 WBM262114:WBN262124 VRQ262114:VRR262124 VHU262114:VHV262124 UXY262114:UXZ262124 UOC262114:UOD262124 UEG262114:UEH262124 TUK262114:TUL262124 TKO262114:TKP262124 TAS262114:TAT262124 SQW262114:SQX262124 SHA262114:SHB262124 RXE262114:RXF262124 RNI262114:RNJ262124 RDM262114:RDN262124 QTQ262114:QTR262124 QJU262114:QJV262124 PZY262114:PZZ262124 PQC262114:PQD262124 PGG262114:PGH262124 OWK262114:OWL262124 OMO262114:OMP262124 OCS262114:OCT262124 NSW262114:NSX262124 NJA262114:NJB262124 MZE262114:MZF262124 MPI262114:MPJ262124 MFM262114:MFN262124 LVQ262114:LVR262124 LLU262114:LLV262124 LBY262114:LBZ262124 KSC262114:KSD262124 KIG262114:KIH262124 JYK262114:JYL262124 JOO262114:JOP262124 JES262114:JET262124 IUW262114:IUX262124 ILA262114:ILB262124 IBE262114:IBF262124 HRI262114:HRJ262124 HHM262114:HHN262124 GXQ262114:GXR262124 GNU262114:GNV262124 GDY262114:GDZ262124 FUC262114:FUD262124 FKG262114:FKH262124 FAK262114:FAL262124 EQO262114:EQP262124 EGS262114:EGT262124 DWW262114:DWX262124 DNA262114:DNB262124 DDE262114:DDF262124 CTI262114:CTJ262124 CJM262114:CJN262124 BZQ262114:BZR262124 BPU262114:BPV262124 BFY262114:BFZ262124 AWC262114:AWD262124 AMG262114:AMH262124 ACK262114:ACL262124 SO262114:SP262124 IS262114:IT262124 WVE196578:WVF196588 WLI196578:WLJ196588 WBM196578:WBN196588 VRQ196578:VRR196588 VHU196578:VHV196588 UXY196578:UXZ196588 UOC196578:UOD196588 UEG196578:UEH196588 TUK196578:TUL196588 TKO196578:TKP196588 TAS196578:TAT196588 SQW196578:SQX196588 SHA196578:SHB196588 RXE196578:RXF196588 RNI196578:RNJ196588 RDM196578:RDN196588 QTQ196578:QTR196588 QJU196578:QJV196588 PZY196578:PZZ196588 PQC196578:PQD196588 PGG196578:PGH196588 OWK196578:OWL196588 OMO196578:OMP196588 OCS196578:OCT196588 NSW196578:NSX196588 NJA196578:NJB196588 MZE196578:MZF196588 MPI196578:MPJ196588 MFM196578:MFN196588 LVQ196578:LVR196588 LLU196578:LLV196588 LBY196578:LBZ196588 KSC196578:KSD196588 KIG196578:KIH196588 JYK196578:JYL196588 JOO196578:JOP196588 JES196578:JET196588 IUW196578:IUX196588 ILA196578:ILB196588 IBE196578:IBF196588 HRI196578:HRJ196588 HHM196578:HHN196588 GXQ196578:GXR196588 GNU196578:GNV196588 GDY196578:GDZ196588 FUC196578:FUD196588 FKG196578:FKH196588 FAK196578:FAL196588 EQO196578:EQP196588 EGS196578:EGT196588 DWW196578:DWX196588 DNA196578:DNB196588 DDE196578:DDF196588 CTI196578:CTJ196588 CJM196578:CJN196588 BZQ196578:BZR196588 BPU196578:BPV196588 BFY196578:BFZ196588 AWC196578:AWD196588 AMG196578:AMH196588 ACK196578:ACL196588 SO196578:SP196588 IS196578:IT196588 WVE131042:WVF131052 WLI131042:WLJ131052 WBM131042:WBN131052 VRQ131042:VRR131052 VHU131042:VHV131052 UXY131042:UXZ131052 UOC131042:UOD131052 UEG131042:UEH131052 TUK131042:TUL131052 TKO131042:TKP131052 TAS131042:TAT131052 SQW131042:SQX131052 SHA131042:SHB131052 RXE131042:RXF131052 RNI131042:RNJ131052 RDM131042:RDN131052 QTQ131042:QTR131052 QJU131042:QJV131052 PZY131042:PZZ131052 PQC131042:PQD131052 PGG131042:PGH131052 OWK131042:OWL131052 OMO131042:OMP131052 OCS131042:OCT131052 NSW131042:NSX131052 NJA131042:NJB131052 MZE131042:MZF131052 MPI131042:MPJ131052 MFM131042:MFN131052 LVQ131042:LVR131052 LLU131042:LLV131052 LBY131042:LBZ131052 KSC131042:KSD131052 KIG131042:KIH131052 JYK131042:JYL131052 JOO131042:JOP131052 JES131042:JET131052 IUW131042:IUX131052 ILA131042:ILB131052 IBE131042:IBF131052 HRI131042:HRJ131052 HHM131042:HHN131052 GXQ131042:GXR131052 GNU131042:GNV131052 GDY131042:GDZ131052 FUC131042:FUD131052 FKG131042:FKH131052 FAK131042:FAL131052 EQO131042:EQP131052 EGS131042:EGT131052 DWW131042:DWX131052 DNA131042:DNB131052 DDE131042:DDF131052 CTI131042:CTJ131052 CJM131042:CJN131052 BZQ131042:BZR131052 BPU131042:BPV131052 BFY131042:BFZ131052 AWC131042:AWD131052 AMG131042:AMH131052 ACK131042:ACL131052 SO131042:SP131052 IS131042:IT131052 WVE65506:WVF65516 WLI65506:WLJ65516 WBM65506:WBN65516 VRQ65506:VRR65516 VHU65506:VHV65516 UXY65506:UXZ65516 UOC65506:UOD65516 UEG65506:UEH65516 TUK65506:TUL65516 TKO65506:TKP65516 TAS65506:TAT65516 SQW65506:SQX65516 SHA65506:SHB65516 RXE65506:RXF65516 RNI65506:RNJ65516 RDM65506:RDN65516 QTQ65506:QTR65516 QJU65506:QJV65516 PZY65506:PZZ65516 PQC65506:PQD65516 PGG65506:PGH65516 OWK65506:OWL65516 OMO65506:OMP65516 OCS65506:OCT65516 NSW65506:NSX65516 NJA65506:NJB65516 MZE65506:MZF65516 MPI65506:MPJ65516 MFM65506:MFN65516 LVQ65506:LVR65516 LLU65506:LLV65516 LBY65506:LBZ65516 KSC65506:KSD65516 KIG65506:KIH65516 JYK65506:JYL65516 JOO65506:JOP65516 JES65506:JET65516 IUW65506:IUX65516 ILA65506:ILB65516 IBE65506:IBF65516 HRI65506:HRJ65516 HHM65506:HHN65516 GXQ65506:GXR65516 GNU65506:GNV65516 GDY65506:GDZ65516 FUC65506:FUD65516 FKG65506:FKH65516 FAK65506:FAL65516 EQO65506:EQP65516 EGS65506:EGT65516 DWW65506:DWX65516 DNA65506:DNB65516 DDE65506:DDF65516 CTI65506:CTJ65516 CJM65506:CJN65516 BZQ65506:BZR65516 BPU65506:BPV65516 BFY65506:BFZ65516 AWC65506:AWD65516 AMG65506:AMH65516 ACK65506:ACL65516 SO65506:SP65516 IS65506:IT65516" xr:uid="{00000000-0002-0000-0100-000000000000}">
      <formula1>#REF!</formula1>
    </dataValidation>
    <dataValidation type="list" allowBlank="1" showInputMessage="1" showErrorMessage="1" sqref="D12:D15 D41:D42 D34:D36 D27:D29 D20:D22" xr:uid="{3B513AAD-EC08-4A61-9270-C2C0901E4B35}">
      <formula1>$P$11:$P$23</formula1>
    </dataValidation>
    <dataValidation type="list" allowBlank="1" showInputMessage="1" showErrorMessage="1" sqref="D16:D19 D37:D40 E12:E42 D30:D33 D23:D26" xr:uid="{DDEF9A31-68BC-4351-8290-6871DAF8CB0E}">
      <formula1>$Q$11:$Q$23</formula1>
    </dataValidation>
    <dataValidation type="whole" operator="equal" allowBlank="1" showInputMessage="1" showErrorMessage="1" errorTitle="ERROR" error="Horas asignadas no validas" promptTitle="VALIDACION" prompt="Porfavor simepre revise sus horas de trabajo" sqref="F12:F42" xr:uid="{4A075C3B-C13E-44EB-98F1-6D283680B820}">
      <formula1>0</formula1>
    </dataValidation>
    <dataValidation type="list" allowBlank="1" showInputMessage="1" showErrorMessage="1" sqref="M7" xr:uid="{E05E427A-AD18-4CF0-AFD6-F7F05A011A10}">
      <formula1>"PASANTIA, MONITORIA, APOYO UNIDAD PRODUCTIVA, APOYO ORGANIZACIÓN ESTATAL"</formula1>
    </dataValidation>
    <dataValidation type="list" allowBlank="1" showInputMessage="1" showErrorMessage="1" sqref="M8" xr:uid="{02943ED7-B92E-4421-B5B7-7CDC4F14E92B}">
      <formula1>"TARDE Y SABADOS, TARDE"</formula1>
    </dataValidation>
    <dataValidation type="list" allowBlank="1" showInputMessage="1" showErrorMessage="1" sqref="J9:K9" xr:uid="{9E0E266A-FF93-4227-B21C-34D4E951BDB8}">
      <formula1>"MARZO,ABRIL,MAYO,JUNIO,JULIO,AGOSTO,SEPTIEMBRE"</formula1>
    </dataValidation>
    <dataValidation type="list" allowBlank="1" showInputMessage="1" showErrorMessage="1" sqref="M12:M42" xr:uid="{E6346ED0-4B77-4006-9AF9-E518EB928105}">
      <formula1>$T$14:$T$18</formula1>
    </dataValidation>
    <dataValidation type="list" allowBlank="1" showInputMessage="1" showErrorMessage="1" sqref="M6" xr:uid="{5ECD13FE-D898-425B-8CBD-6B2EC7BA2A7A}">
      <formula1>$S$14:$S$32</formula1>
    </dataValidation>
    <dataValidation type="list" allowBlank="1" showInputMessage="1" showErrorMessage="1" sqref="E9:F9" xr:uid="{CC288085-9FCB-4E78-9CE2-1148C571FD9C}">
      <formula1>$R$13:$R$17</formula1>
    </dataValidation>
    <dataValidation operator="notBetween" allowBlank="1" showInputMessage="1" showErrorMessage="1" sqref="L44" xr:uid="{DD1BFBDD-2199-4ABD-9AD7-C031F6472D2C}"/>
  </dataValidations>
  <printOptions horizontalCentered="1"/>
  <pageMargins left="0.51181102362204722" right="0.51181102362204722" top="0.35433070866141736" bottom="0.35433070866141736" header="0.31496062992125984" footer="0.31496062992125984"/>
  <pageSetup scale="55" orientation="portrait" blackAndWhite="1" r:id="rId1"/>
  <ignoredErrors>
    <ignoredError sqref="F12:F42 M9" unlocked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Estudiante</vt:lpstr>
      <vt:lpstr>'Planilla Estudiante'!Área_de_impresión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anderson</cp:lastModifiedBy>
  <cp:lastPrinted>2025-04-01T18:51:14Z</cp:lastPrinted>
  <dcterms:created xsi:type="dcterms:W3CDTF">2017-06-28T15:20:23Z</dcterms:created>
  <dcterms:modified xsi:type="dcterms:W3CDTF">2026-05-23T14:02:18Z</dcterms:modified>
</cp:coreProperties>
</file>